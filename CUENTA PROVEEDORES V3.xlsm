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maedu-my.sharepoint.com/personal/rafael_landauro_uma_edu_pe/Documents/Escritorio/EEFF UMA/Informes/2026/Proveedores/"/>
    </mc:Choice>
  </mc:AlternateContent>
  <xr:revisionPtr revIDLastSave="6" documentId="8_{3A73DC08-4DCC-405D-97B7-E58CC1D03E72}" xr6:coauthVersionLast="47" xr6:coauthVersionMax="47" xr10:uidLastSave="{4E120528-81F6-40A3-8E92-2FF4CE2F2AC8}"/>
  <bookViews>
    <workbookView xWindow="-120" yWindow="-120" windowWidth="29040" windowHeight="15720" xr2:uid="{D68C947F-BF57-436A-9D7C-CBAE70C1A790}"/>
  </bookViews>
  <sheets>
    <sheet name="Registro de Operaciones" sheetId="2" r:id="rId1"/>
    <sheet name="BBVA SOLES" sheetId="3" r:id="rId2"/>
    <sheet name="BBVA DOLARES" sheetId="4" r:id="rId3"/>
    <sheet name="INDIVIDUALES" sheetId="6" r:id="rId4"/>
    <sheet name="BD" sheetId="1" r:id="rId5"/>
    <sheet name="Tabla 1" sheetId="5" r:id="rId6"/>
  </sheets>
  <definedNames>
    <definedName name="_xlnm._FilterDatabase" localSheetId="4" hidden="1">BD!$C$3:$F$114</definedName>
    <definedName name="_xlnm._FilterDatabase" localSheetId="0" hidden="1">'Registro de Operaciones'!$J$114:$J$114</definedName>
    <definedName name="DOI_Tipo">BD!$R$4:$S$8</definedName>
    <definedName name="Tipo_Abono">BD!$Q$13:$R$14</definedName>
    <definedName name="Tipo_Recibo">BD!$R$18:$S$25</definedName>
  </definedNames>
  <calcPr calcId="191028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5" i="2" l="1"/>
  <c r="T81" i="2"/>
  <c r="T80" i="2"/>
  <c r="T65" i="2"/>
  <c r="T64" i="2"/>
  <c r="T58" i="2"/>
  <c r="T43" i="2"/>
  <c r="T40" i="2"/>
  <c r="T39" i="2"/>
  <c r="T22" i="2"/>
  <c r="T15" i="2"/>
  <c r="A21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0" i="6"/>
  <c r="A19" i="6"/>
  <c r="A18" i="6"/>
  <c r="A17" i="6"/>
  <c r="A16" i="6"/>
  <c r="A15" i="6"/>
  <c r="K14" i="6"/>
  <c r="A14" i="6"/>
  <c r="A13" i="6"/>
  <c r="A12" i="6"/>
  <c r="A11" i="6"/>
  <c r="A10" i="6"/>
  <c r="A9" i="6"/>
  <c r="A8" i="6"/>
  <c r="A7" i="6"/>
  <c r="B7" i="6" s="1"/>
  <c r="A6" i="6"/>
  <c r="A5" i="6"/>
  <c r="A4" i="6"/>
  <c r="N37" i="6"/>
  <c r="M37" i="6"/>
  <c r="L37" i="6"/>
  <c r="K37" i="6"/>
  <c r="D36" i="6"/>
  <c r="J31" i="6"/>
  <c r="I31" i="6"/>
  <c r="H31" i="6"/>
  <c r="G31" i="6"/>
  <c r="F30" i="6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U74" i="2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6" i="2"/>
  <c r="D6" i="2" s="1"/>
  <c r="E6" i="2" s="1"/>
  <c r="F6" i="2" s="1"/>
  <c r="G6" i="2" s="1"/>
  <c r="H6" i="2" s="1"/>
  <c r="I6" i="2" s="1"/>
  <c r="J6" i="2" s="1"/>
  <c r="K6" i="2" s="1"/>
  <c r="L6" i="2" s="1"/>
  <c r="M6" i="2" s="1"/>
  <c r="N6" i="2" s="1"/>
  <c r="O6" i="2" s="1"/>
  <c r="P6" i="2" s="1"/>
  <c r="Q6" i="2" s="1"/>
  <c r="R6" i="2" s="1"/>
  <c r="S6" i="2" s="1"/>
  <c r="T6" i="2" s="1"/>
  <c r="U6" i="2" s="1"/>
  <c r="V6" i="2" s="1"/>
  <c r="W6" i="2" s="1"/>
  <c r="X6" i="2" s="1"/>
  <c r="Y6" i="2" s="1"/>
  <c r="Z6" i="2" s="1"/>
  <c r="S9" i="2"/>
  <c r="T9" i="2" s="1"/>
  <c r="S10" i="2"/>
  <c r="T10" i="2" s="1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T23" i="2" s="1"/>
  <c r="S24" i="2"/>
  <c r="S25" i="2"/>
  <c r="S26" i="2"/>
  <c r="S27" i="2"/>
  <c r="S28" i="2"/>
  <c r="S29" i="2"/>
  <c r="S30" i="2"/>
  <c r="S31" i="2"/>
  <c r="S32" i="2"/>
  <c r="S33" i="2"/>
  <c r="T33" i="2" s="1"/>
  <c r="S34" i="2"/>
  <c r="S35" i="2"/>
  <c r="S36" i="2"/>
  <c r="S37" i="2"/>
  <c r="S38" i="2"/>
  <c r="S39" i="2"/>
  <c r="S40" i="2"/>
  <c r="S41" i="2"/>
  <c r="T41" i="2" s="1"/>
  <c r="S42" i="2"/>
  <c r="S43" i="2"/>
  <c r="S44" i="2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3" i="2"/>
  <c r="S84" i="2"/>
  <c r="T84" i="2" s="1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8" i="2"/>
  <c r="T11" i="2"/>
  <c r="T12" i="2"/>
  <c r="T13" i="2"/>
  <c r="T14" i="2"/>
  <c r="T16" i="2"/>
  <c r="U16" i="2" s="1"/>
  <c r="T17" i="2"/>
  <c r="T18" i="2"/>
  <c r="T19" i="2"/>
  <c r="U19" i="2" s="1"/>
  <c r="T20" i="2"/>
  <c r="U20" i="2" s="1"/>
  <c r="T21" i="2"/>
  <c r="U21" i="2" s="1"/>
  <c r="T24" i="2"/>
  <c r="U24" i="2" s="1"/>
  <c r="T25" i="2"/>
  <c r="T26" i="2"/>
  <c r="U26" i="2" s="1"/>
  <c r="T27" i="2"/>
  <c r="T28" i="2"/>
  <c r="T29" i="2"/>
  <c r="T30" i="2"/>
  <c r="T31" i="2"/>
  <c r="T32" i="2"/>
  <c r="T34" i="2"/>
  <c r="T35" i="2"/>
  <c r="T36" i="2"/>
  <c r="T37" i="2"/>
  <c r="T38" i="2"/>
  <c r="T42" i="2"/>
  <c r="U42" i="2" s="1"/>
  <c r="T44" i="2"/>
  <c r="T53" i="2"/>
  <c r="T54" i="2"/>
  <c r="U54" i="2" s="1"/>
  <c r="T55" i="2"/>
  <c r="T56" i="2"/>
  <c r="U56" i="2" s="1"/>
  <c r="T57" i="2"/>
  <c r="T59" i="2"/>
  <c r="T8" i="2"/>
  <c r="X16" i="2"/>
  <c r="X19" i="2"/>
  <c r="X20" i="2"/>
  <c r="X21" i="2"/>
  <c r="X24" i="2"/>
  <c r="X26" i="2"/>
  <c r="X42" i="2"/>
  <c r="X54" i="2"/>
  <c r="X56" i="2"/>
  <c r="X60" i="2"/>
  <c r="X61" i="2"/>
  <c r="X62" i="2"/>
  <c r="X63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2" i="2"/>
  <c r="X83" i="2"/>
  <c r="X86" i="2"/>
  <c r="X87" i="2"/>
  <c r="X88" i="2"/>
  <c r="X89" i="2"/>
  <c r="Z89" i="2" s="1"/>
  <c r="X90" i="2"/>
  <c r="Z90" i="2" s="1"/>
  <c r="X91" i="2"/>
  <c r="Z91" i="2" s="1"/>
  <c r="X92" i="2"/>
  <c r="Z92" i="2" s="1"/>
  <c r="X93" i="2"/>
  <c r="Z93" i="2" s="1"/>
  <c r="X94" i="2"/>
  <c r="Z94" i="2" s="1"/>
  <c r="X95" i="2"/>
  <c r="Z95" i="2" s="1"/>
  <c r="X96" i="2"/>
  <c r="Z96" i="2" s="1"/>
  <c r="X97" i="2"/>
  <c r="Z97" i="2" s="1"/>
  <c r="X98" i="2"/>
  <c r="Z98" i="2" s="1"/>
  <c r="X99" i="2"/>
  <c r="Z99" i="2" s="1"/>
  <c r="U60" i="2"/>
  <c r="U61" i="2"/>
  <c r="U62" i="2"/>
  <c r="U63" i="2"/>
  <c r="U66" i="2"/>
  <c r="U67" i="2"/>
  <c r="U68" i="2"/>
  <c r="U69" i="2"/>
  <c r="U70" i="2"/>
  <c r="U71" i="2"/>
  <c r="U72" i="2"/>
  <c r="U73" i="2"/>
  <c r="U75" i="2"/>
  <c r="U76" i="2"/>
  <c r="U77" i="2"/>
  <c r="U78" i="2"/>
  <c r="U79" i="2"/>
  <c r="U82" i="2"/>
  <c r="U83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R82" i="2"/>
  <c r="S82" i="2" s="1"/>
  <c r="H87" i="2"/>
  <c r="H88" i="2"/>
  <c r="H85" i="2"/>
  <c r="H86" i="2"/>
  <c r="H89" i="2"/>
  <c r="H90" i="2"/>
  <c r="H91" i="2"/>
  <c r="H92" i="2"/>
  <c r="H93" i="2"/>
  <c r="H94" i="2"/>
  <c r="H95" i="2"/>
  <c r="H96" i="2"/>
  <c r="H97" i="2"/>
  <c r="H98" i="2"/>
  <c r="H99" i="2"/>
  <c r="H84" i="2"/>
  <c r="H83" i="2"/>
  <c r="A258" i="1"/>
  <c r="A259" i="1"/>
  <c r="A260" i="1"/>
  <c r="A261" i="1"/>
  <c r="A262" i="1"/>
  <c r="A263" i="1"/>
  <c r="A264" i="1"/>
  <c r="R77" i="2"/>
  <c r="H78" i="2"/>
  <c r="H79" i="2"/>
  <c r="H80" i="2"/>
  <c r="H81" i="2"/>
  <c r="H82" i="2"/>
  <c r="H77" i="2"/>
  <c r="H76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R61" i="2"/>
  <c r="H61" i="2"/>
  <c r="R60" i="2"/>
  <c r="R59" i="2"/>
  <c r="H55" i="2"/>
  <c r="H56" i="2"/>
  <c r="H57" i="2"/>
  <c r="H58" i="2"/>
  <c r="H59" i="2"/>
  <c r="H60" i="2"/>
  <c r="H54" i="2"/>
  <c r="H53" i="2"/>
  <c r="H51" i="2"/>
  <c r="H52" i="2"/>
  <c r="H32" i="2"/>
  <c r="H33" i="2"/>
  <c r="X85" i="2" l="1"/>
  <c r="U85" i="2"/>
  <c r="Y85" i="2" s="1"/>
  <c r="Z85" i="2" s="1"/>
  <c r="X84" i="2"/>
  <c r="U84" i="2"/>
  <c r="Y84" i="2" s="1"/>
  <c r="Z84" i="2" s="1"/>
  <c r="X81" i="2"/>
  <c r="U81" i="2"/>
  <c r="Y81" i="2" s="1"/>
  <c r="Z81" i="2" s="1"/>
  <c r="X80" i="2"/>
  <c r="U80" i="2"/>
  <c r="Y80" i="2" s="1"/>
  <c r="Z80" i="2" s="1"/>
  <c r="X65" i="2"/>
  <c r="U65" i="2"/>
  <c r="Y65" i="2" s="1"/>
  <c r="Z65" i="2" s="1"/>
  <c r="X64" i="2"/>
  <c r="U64" i="2"/>
  <c r="Y64" i="2" s="1"/>
  <c r="Z64" i="2" s="1"/>
  <c r="U58" i="2"/>
  <c r="Y58" i="2" s="1"/>
  <c r="Z58" i="2" s="1"/>
  <c r="X58" i="2"/>
  <c r="U22" i="2"/>
  <c r="X22" i="2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M14" i="6"/>
  <c r="N14" i="6"/>
  <c r="L14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N16" i="6"/>
  <c r="M16" i="6"/>
  <c r="L16" i="6"/>
  <c r="K16" i="6"/>
  <c r="J16" i="6"/>
  <c r="H16" i="6"/>
  <c r="G16" i="6"/>
  <c r="F16" i="6"/>
  <c r="E16" i="6"/>
  <c r="D16" i="6"/>
  <c r="C16" i="6"/>
  <c r="B16" i="6"/>
  <c r="I16" i="6"/>
  <c r="M15" i="6"/>
  <c r="L15" i="6"/>
  <c r="K15" i="6"/>
  <c r="I15" i="6"/>
  <c r="H15" i="6"/>
  <c r="G15" i="6"/>
  <c r="E15" i="6"/>
  <c r="D15" i="6"/>
  <c r="B15" i="6"/>
  <c r="N15" i="6"/>
  <c r="C15" i="6"/>
  <c r="F15" i="6"/>
  <c r="J15" i="6"/>
  <c r="F14" i="6"/>
  <c r="E14" i="6"/>
  <c r="D14" i="6"/>
  <c r="C14" i="6"/>
  <c r="B14" i="6"/>
  <c r="I14" i="6"/>
  <c r="J14" i="6"/>
  <c r="H14" i="6"/>
  <c r="G14" i="6"/>
  <c r="E13" i="6"/>
  <c r="M13" i="6"/>
  <c r="L13" i="6"/>
  <c r="K13" i="6"/>
  <c r="J13" i="6"/>
  <c r="I13" i="6"/>
  <c r="N13" i="6"/>
  <c r="G13" i="6"/>
  <c r="F13" i="6"/>
  <c r="H13" i="6"/>
  <c r="D13" i="6"/>
  <c r="C13" i="6"/>
  <c r="B13" i="6"/>
  <c r="J12" i="6"/>
  <c r="K12" i="6"/>
  <c r="L12" i="6"/>
  <c r="M12" i="6"/>
  <c r="N12" i="6"/>
  <c r="I12" i="6"/>
  <c r="H12" i="6"/>
  <c r="G12" i="6"/>
  <c r="F12" i="6"/>
  <c r="E12" i="6"/>
  <c r="C12" i="6"/>
  <c r="B12" i="6"/>
  <c r="D12" i="6"/>
  <c r="K11" i="6"/>
  <c r="J11" i="6"/>
  <c r="I11" i="6"/>
  <c r="H11" i="6"/>
  <c r="G11" i="6"/>
  <c r="E11" i="6"/>
  <c r="D11" i="6"/>
  <c r="C11" i="6"/>
  <c r="B11" i="6"/>
  <c r="F11" i="6"/>
  <c r="N11" i="6"/>
  <c r="M11" i="6"/>
  <c r="L11" i="6"/>
  <c r="J10" i="6"/>
  <c r="N10" i="6"/>
  <c r="M10" i="6"/>
  <c r="L10" i="6"/>
  <c r="K10" i="6"/>
  <c r="I10" i="6"/>
  <c r="H10" i="6"/>
  <c r="G10" i="6"/>
  <c r="F10" i="6"/>
  <c r="E10" i="6"/>
  <c r="D10" i="6"/>
  <c r="C10" i="6"/>
  <c r="B10" i="6"/>
  <c r="F9" i="6"/>
  <c r="E9" i="6"/>
  <c r="D9" i="6"/>
  <c r="C9" i="6"/>
  <c r="N9" i="6"/>
  <c r="B9" i="6"/>
  <c r="M9" i="6"/>
  <c r="L9" i="6"/>
  <c r="K9" i="6"/>
  <c r="J9" i="6"/>
  <c r="I9" i="6"/>
  <c r="H9" i="6"/>
  <c r="G9" i="6"/>
  <c r="F8" i="6"/>
  <c r="E8" i="6"/>
  <c r="D8" i="6"/>
  <c r="C8" i="6"/>
  <c r="B8" i="6"/>
  <c r="N8" i="6"/>
  <c r="M8" i="6"/>
  <c r="L8" i="6"/>
  <c r="K8" i="6"/>
  <c r="J8" i="6"/>
  <c r="I8" i="6"/>
  <c r="H8" i="6"/>
  <c r="G8" i="6"/>
  <c r="N7" i="6"/>
  <c r="M7" i="6"/>
  <c r="L7" i="6"/>
  <c r="K7" i="6"/>
  <c r="G7" i="6"/>
  <c r="E7" i="6"/>
  <c r="C7" i="6"/>
  <c r="D7" i="6"/>
  <c r="I7" i="6"/>
  <c r="J7" i="6"/>
  <c r="H7" i="6"/>
  <c r="F7" i="6"/>
  <c r="N6" i="6"/>
  <c r="E6" i="6"/>
  <c r="D6" i="6"/>
  <c r="B6" i="6"/>
  <c r="M6" i="6"/>
  <c r="K6" i="6"/>
  <c r="H6" i="6"/>
  <c r="C6" i="6"/>
  <c r="G6" i="6"/>
  <c r="L6" i="6"/>
  <c r="I6" i="6"/>
  <c r="F6" i="6"/>
  <c r="J6" i="6"/>
  <c r="J5" i="6"/>
  <c r="B5" i="6"/>
  <c r="D5" i="6"/>
  <c r="G5" i="6"/>
  <c r="E5" i="6"/>
  <c r="I5" i="6"/>
  <c r="N5" i="6"/>
  <c r="K5" i="6"/>
  <c r="M5" i="6"/>
  <c r="L5" i="6"/>
  <c r="H5" i="6"/>
  <c r="C5" i="6"/>
  <c r="N4" i="6"/>
  <c r="M4" i="6"/>
  <c r="L4" i="6"/>
  <c r="K4" i="6"/>
  <c r="J4" i="6"/>
  <c r="I4" i="6"/>
  <c r="H4" i="6"/>
  <c r="E4" i="6"/>
  <c r="D4" i="6"/>
  <c r="C4" i="6"/>
  <c r="B4" i="6"/>
  <c r="N43" i="6"/>
  <c r="L43" i="6"/>
  <c r="I43" i="6"/>
  <c r="H43" i="6"/>
  <c r="G43" i="6"/>
  <c r="F43" i="6"/>
  <c r="E43" i="6"/>
  <c r="C43" i="6"/>
  <c r="B43" i="6"/>
  <c r="D43" i="6"/>
  <c r="J43" i="6"/>
  <c r="K43" i="6"/>
  <c r="M43" i="6"/>
  <c r="K42" i="6"/>
  <c r="N42" i="6"/>
  <c r="H42" i="6"/>
  <c r="J42" i="6"/>
  <c r="I42" i="6"/>
  <c r="D42" i="6"/>
  <c r="F42" i="6"/>
  <c r="G42" i="6"/>
  <c r="B42" i="6"/>
  <c r="C42" i="6"/>
  <c r="M42" i="6"/>
  <c r="E42" i="6"/>
  <c r="L42" i="6"/>
  <c r="M41" i="6"/>
  <c r="J41" i="6"/>
  <c r="F41" i="6"/>
  <c r="D41" i="6"/>
  <c r="B41" i="6"/>
  <c r="I41" i="6"/>
  <c r="K41" i="6"/>
  <c r="L41" i="6"/>
  <c r="N41" i="6"/>
  <c r="H41" i="6"/>
  <c r="C41" i="6"/>
  <c r="E41" i="6"/>
  <c r="G41" i="6"/>
  <c r="L40" i="6"/>
  <c r="J40" i="6"/>
  <c r="I40" i="6"/>
  <c r="H40" i="6"/>
  <c r="F40" i="6"/>
  <c r="D40" i="6"/>
  <c r="B40" i="6"/>
  <c r="N40" i="6"/>
  <c r="M40" i="6"/>
  <c r="G40" i="6"/>
  <c r="E40" i="6"/>
  <c r="C40" i="6"/>
  <c r="K40" i="6"/>
  <c r="N39" i="6"/>
  <c r="L39" i="6"/>
  <c r="G39" i="6"/>
  <c r="J39" i="6"/>
  <c r="K39" i="6"/>
  <c r="B39" i="6"/>
  <c r="E39" i="6"/>
  <c r="F39" i="6"/>
  <c r="H39" i="6"/>
  <c r="I39" i="6"/>
  <c r="M39" i="6"/>
  <c r="C39" i="6"/>
  <c r="D39" i="6"/>
  <c r="G38" i="6"/>
  <c r="H38" i="6"/>
  <c r="I38" i="6"/>
  <c r="K38" i="6"/>
  <c r="C38" i="6"/>
  <c r="D38" i="6"/>
  <c r="B38" i="6"/>
  <c r="E38" i="6"/>
  <c r="J38" i="6"/>
  <c r="N38" i="6"/>
  <c r="M38" i="6"/>
  <c r="F38" i="6"/>
  <c r="L38" i="6"/>
  <c r="J37" i="6"/>
  <c r="I37" i="6"/>
  <c r="H37" i="6"/>
  <c r="F37" i="6"/>
  <c r="E37" i="6"/>
  <c r="D37" i="6"/>
  <c r="C37" i="6"/>
  <c r="B37" i="6"/>
  <c r="G37" i="6"/>
  <c r="B36" i="6"/>
  <c r="F36" i="6"/>
  <c r="E36" i="6"/>
  <c r="L36" i="6"/>
  <c r="C36" i="6"/>
  <c r="N36" i="6"/>
  <c r="M36" i="6"/>
  <c r="K36" i="6"/>
  <c r="J36" i="6"/>
  <c r="I36" i="6"/>
  <c r="H36" i="6"/>
  <c r="G36" i="6"/>
  <c r="I35" i="6"/>
  <c r="F35" i="6"/>
  <c r="C35" i="6"/>
  <c r="H35" i="6"/>
  <c r="D35" i="6"/>
  <c r="G35" i="6"/>
  <c r="E35" i="6"/>
  <c r="L35" i="6"/>
  <c r="B35" i="6"/>
  <c r="M35" i="6"/>
  <c r="N35" i="6"/>
  <c r="K35" i="6"/>
  <c r="J35" i="6"/>
  <c r="E34" i="6"/>
  <c r="B34" i="6"/>
  <c r="M34" i="6"/>
  <c r="N34" i="6"/>
  <c r="D34" i="6"/>
  <c r="C34" i="6"/>
  <c r="G34" i="6"/>
  <c r="F34" i="6"/>
  <c r="H34" i="6"/>
  <c r="I34" i="6"/>
  <c r="J34" i="6"/>
  <c r="K34" i="6"/>
  <c r="L34" i="6"/>
  <c r="N33" i="6"/>
  <c r="M33" i="6"/>
  <c r="I33" i="6"/>
  <c r="E33" i="6"/>
  <c r="C33" i="6"/>
  <c r="B33" i="6"/>
  <c r="G33" i="6"/>
  <c r="F33" i="6"/>
  <c r="K33" i="6"/>
  <c r="D33" i="6"/>
  <c r="H33" i="6"/>
  <c r="L33" i="6"/>
  <c r="J33" i="6"/>
  <c r="N32" i="6"/>
  <c r="M32" i="6"/>
  <c r="K32" i="6"/>
  <c r="D32" i="6"/>
  <c r="E32" i="6"/>
  <c r="H32" i="6"/>
  <c r="J32" i="6"/>
  <c r="L32" i="6"/>
  <c r="I32" i="6"/>
  <c r="G32" i="6"/>
  <c r="F32" i="6"/>
  <c r="C32" i="6"/>
  <c r="B32" i="6"/>
  <c r="D31" i="6"/>
  <c r="E31" i="6"/>
  <c r="F31" i="6"/>
  <c r="B31" i="6"/>
  <c r="L31" i="6"/>
  <c r="N31" i="6"/>
  <c r="C31" i="6"/>
  <c r="K31" i="6"/>
  <c r="M31" i="6"/>
  <c r="K30" i="6"/>
  <c r="D30" i="6"/>
  <c r="B30" i="6"/>
  <c r="E30" i="6"/>
  <c r="I30" i="6"/>
  <c r="M30" i="6"/>
  <c r="N30" i="6"/>
  <c r="C30" i="6"/>
  <c r="G30" i="6"/>
  <c r="L30" i="6"/>
  <c r="J30" i="6"/>
  <c r="H30" i="6"/>
  <c r="H29" i="6"/>
  <c r="C29" i="6"/>
  <c r="K29" i="6"/>
  <c r="G29" i="6"/>
  <c r="J29" i="6"/>
  <c r="F29" i="6"/>
  <c r="E29" i="6"/>
  <c r="L29" i="6"/>
  <c r="M29" i="6"/>
  <c r="I29" i="6"/>
  <c r="D29" i="6"/>
  <c r="N29" i="6"/>
  <c r="B29" i="6"/>
  <c r="C28" i="6"/>
  <c r="F28" i="6"/>
  <c r="L28" i="6"/>
  <c r="J28" i="6"/>
  <c r="H28" i="6"/>
  <c r="N28" i="6"/>
  <c r="I28" i="6"/>
  <c r="G28" i="6"/>
  <c r="M28" i="6"/>
  <c r="D28" i="6"/>
  <c r="E28" i="6"/>
  <c r="B28" i="6"/>
  <c r="K28" i="6"/>
  <c r="L27" i="6"/>
  <c r="J27" i="6"/>
  <c r="D27" i="6"/>
  <c r="H27" i="6"/>
  <c r="K27" i="6"/>
  <c r="F27" i="6"/>
  <c r="B27" i="6"/>
  <c r="G27" i="6"/>
  <c r="M27" i="6"/>
  <c r="N27" i="6"/>
  <c r="I27" i="6"/>
  <c r="E27" i="6"/>
  <c r="C27" i="6"/>
  <c r="J26" i="6"/>
  <c r="C26" i="6"/>
  <c r="K26" i="6"/>
  <c r="I26" i="6"/>
  <c r="N26" i="6"/>
  <c r="M26" i="6"/>
  <c r="E26" i="6"/>
  <c r="D26" i="6"/>
  <c r="L26" i="6"/>
  <c r="H26" i="6"/>
  <c r="B26" i="6"/>
  <c r="U30" i="2"/>
  <c r="X30" i="2"/>
  <c r="U32" i="2"/>
  <c r="X32" i="2"/>
  <c r="U35" i="2"/>
  <c r="X35" i="2"/>
  <c r="U36" i="2"/>
  <c r="X36" i="2"/>
  <c r="X40" i="2"/>
  <c r="U40" i="2"/>
  <c r="X43" i="2"/>
  <c r="U43" i="2"/>
  <c r="X39" i="2"/>
  <c r="U39" i="2"/>
  <c r="X41" i="2"/>
  <c r="U41" i="2"/>
  <c r="X44" i="2"/>
  <c r="U44" i="2"/>
  <c r="X37" i="2"/>
  <c r="U37" i="2"/>
  <c r="X33" i="2"/>
  <c r="U33" i="2"/>
  <c r="U31" i="2"/>
  <c r="X31" i="2"/>
  <c r="X29" i="2"/>
  <c r="U29" i="2"/>
  <c r="X25" i="2"/>
  <c r="U25" i="2"/>
  <c r="U53" i="2"/>
  <c r="X53" i="2"/>
  <c r="X52" i="2"/>
  <c r="U52" i="2"/>
  <c r="Y52" i="2" s="1"/>
  <c r="X51" i="2"/>
  <c r="U51" i="2"/>
  <c r="U48" i="2"/>
  <c r="X48" i="2"/>
  <c r="X47" i="2"/>
  <c r="U47" i="2"/>
  <c r="X50" i="2"/>
  <c r="U50" i="2"/>
  <c r="X49" i="2"/>
  <c r="U49" i="2"/>
  <c r="X46" i="2"/>
  <c r="U46" i="2"/>
  <c r="U45" i="2"/>
  <c r="X45" i="2"/>
  <c r="X23" i="2"/>
  <c r="U23" i="2"/>
  <c r="G26" i="6" s="1"/>
  <c r="X55" i="2"/>
  <c r="U55" i="2"/>
  <c r="X38" i="2"/>
  <c r="U38" i="2"/>
  <c r="X57" i="2"/>
  <c r="U57" i="2"/>
  <c r="X18" i="2"/>
  <c r="U18" i="2"/>
  <c r="X59" i="2"/>
  <c r="U59" i="2"/>
  <c r="X34" i="2"/>
  <c r="U34" i="2"/>
  <c r="X28" i="2"/>
  <c r="U28" i="2"/>
  <c r="X27" i="2"/>
  <c r="U27" i="2"/>
  <c r="U17" i="2"/>
  <c r="X17" i="2"/>
  <c r="U15" i="2"/>
  <c r="X15" i="2"/>
  <c r="U14" i="2"/>
  <c r="X14" i="2"/>
  <c r="U11" i="2"/>
  <c r="X11" i="2"/>
  <c r="X10" i="2"/>
  <c r="U10" i="2"/>
  <c r="X9" i="2"/>
  <c r="U9" i="2"/>
  <c r="Y9" i="2" s="1"/>
  <c r="X12" i="2"/>
  <c r="G4" i="6" s="1"/>
  <c r="U12" i="2"/>
  <c r="X13" i="2"/>
  <c r="U13" i="2"/>
  <c r="U8" i="2"/>
  <c r="X8" i="2"/>
  <c r="Y89" i="2"/>
  <c r="Y90" i="2"/>
  <c r="Y91" i="2"/>
  <c r="Y92" i="2"/>
  <c r="Y93" i="2"/>
  <c r="Y94" i="2"/>
  <c r="Y95" i="2"/>
  <c r="Y96" i="2"/>
  <c r="Y97" i="2"/>
  <c r="Y98" i="2"/>
  <c r="Y99" i="2"/>
  <c r="Y60" i="2"/>
  <c r="Z60" i="2" s="1"/>
  <c r="Y61" i="2"/>
  <c r="Z61" i="2" s="1"/>
  <c r="Y62" i="2"/>
  <c r="Z62" i="2" s="1"/>
  <c r="Y63" i="2"/>
  <c r="Z63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2" i="2"/>
  <c r="Z82" i="2" s="1"/>
  <c r="Y83" i="2"/>
  <c r="Z83" i="2" s="1"/>
  <c r="Y86" i="2"/>
  <c r="Z86" i="2" s="1"/>
  <c r="Y87" i="2"/>
  <c r="Z87" i="2" s="1"/>
  <c r="Y88" i="2"/>
  <c r="Z88" i="2" s="1"/>
  <c r="R17" i="2"/>
  <c r="Z9" i="2" l="1"/>
  <c r="Z52" i="2"/>
  <c r="Y15" i="2"/>
  <c r="Z15" i="2" s="1"/>
  <c r="Y50" i="2"/>
  <c r="Z50" i="2" s="1"/>
  <c r="Y14" i="2"/>
  <c r="Z14" i="2" s="1"/>
  <c r="Y13" i="2"/>
  <c r="Z13" i="2" s="1"/>
  <c r="Y8" i="2"/>
  <c r="Z8" i="2" s="1"/>
  <c r="Y11" i="2"/>
  <c r="Z11" i="2" s="1"/>
  <c r="Y12" i="2"/>
  <c r="Z12" i="2" s="1"/>
  <c r="Y10" i="2"/>
  <c r="Z10" i="2" s="1"/>
  <c r="Y16" i="2"/>
  <c r="Z16" i="2" s="1"/>
  <c r="Y28" i="2"/>
  <c r="Z28" i="2" s="1"/>
  <c r="Y39" i="2"/>
  <c r="Z39" i="2" s="1"/>
  <c r="Y46" i="2"/>
  <c r="Z46" i="2" s="1"/>
  <c r="Y59" i="2"/>
  <c r="Z59" i="2" s="1"/>
  <c r="Y55" i="2"/>
  <c r="Z55" i="2" s="1"/>
  <c r="Y53" i="2"/>
  <c r="Z53" i="2" s="1"/>
  <c r="Y49" i="2"/>
  <c r="Z49" i="2" s="1"/>
  <c r="Y47" i="2"/>
  <c r="Z47" i="2" s="1"/>
  <c r="Y43" i="2"/>
  <c r="Z43" i="2" s="1"/>
  <c r="Y35" i="2"/>
  <c r="Z35" i="2" s="1"/>
  <c r="Y23" i="2"/>
  <c r="Z23" i="2" s="1"/>
  <c r="Y17" i="2"/>
  <c r="Z17" i="2" s="1"/>
  <c r="Y18" i="2"/>
  <c r="Z18" i="2" s="1"/>
  <c r="Y19" i="2"/>
  <c r="Z19" i="2" s="1"/>
  <c r="Y20" i="2"/>
  <c r="Z20" i="2" s="1"/>
  <c r="Y21" i="2"/>
  <c r="Z21" i="2" s="1"/>
  <c r="Y22" i="2"/>
  <c r="Z22" i="2" s="1"/>
  <c r="Y29" i="2"/>
  <c r="Z29" i="2" s="1"/>
  <c r="Y30" i="2"/>
  <c r="Z30" i="2" s="1"/>
  <c r="Y31" i="2"/>
  <c r="Z31" i="2" s="1"/>
  <c r="Y32" i="2"/>
  <c r="Z32" i="2" s="1"/>
  <c r="Y33" i="2"/>
  <c r="Z33" i="2" s="1"/>
  <c r="Y34" i="2"/>
  <c r="Z34" i="2" s="1"/>
  <c r="Y37" i="2"/>
  <c r="Z37" i="2" s="1"/>
  <c r="Y42" i="2"/>
  <c r="Z42" i="2" s="1"/>
  <c r="Y44" i="2"/>
  <c r="Z44" i="2" s="1"/>
  <c r="Y45" i="2"/>
  <c r="Z45" i="2" s="1"/>
  <c r="Y51" i="2"/>
  <c r="Z51" i="2" s="1"/>
  <c r="Y54" i="2"/>
  <c r="Z54" i="2" s="1"/>
  <c r="Y24" i="2"/>
  <c r="Z24" i="2" s="1"/>
  <c r="Y25" i="2"/>
  <c r="Z25" i="2" s="1"/>
  <c r="Y26" i="2"/>
  <c r="Z26" i="2" s="1"/>
  <c r="Y27" i="2"/>
  <c r="Z27" i="2" s="1"/>
  <c r="Y36" i="2"/>
  <c r="Z36" i="2" s="1"/>
  <c r="Y38" i="2"/>
  <c r="Z38" i="2" s="1"/>
  <c r="Y40" i="2"/>
  <c r="Z40" i="2" s="1"/>
  <c r="Y41" i="2"/>
  <c r="Z41" i="2" s="1"/>
  <c r="Y48" i="2"/>
  <c r="Z48" i="2" s="1"/>
  <c r="Y56" i="2"/>
  <c r="Z56" i="2" s="1"/>
  <c r="Y57" i="2"/>
  <c r="Z57" i="2" s="1"/>
  <c r="H39" i="2"/>
  <c r="H40" i="2"/>
  <c r="H41" i="2"/>
  <c r="H42" i="2"/>
  <c r="H43" i="2"/>
  <c r="H44" i="2"/>
  <c r="H45" i="2"/>
  <c r="H46" i="2"/>
  <c r="H47" i="2"/>
  <c r="H48" i="2"/>
  <c r="H49" i="2"/>
  <c r="H50" i="2"/>
  <c r="H38" i="2"/>
  <c r="A250" i="1"/>
  <c r="A251" i="1"/>
  <c r="A252" i="1"/>
  <c r="A253" i="1"/>
  <c r="A254" i="1"/>
  <c r="A255" i="1"/>
  <c r="A256" i="1"/>
  <c r="A257" i="1"/>
  <c r="R26" i="2"/>
  <c r="H20" i="2"/>
  <c r="H9" i="2"/>
  <c r="H8" i="2"/>
  <c r="H10" i="2"/>
  <c r="H11" i="2"/>
  <c r="H12" i="2"/>
  <c r="F4" i="6" s="1"/>
  <c r="H13" i="2"/>
  <c r="H14" i="2"/>
  <c r="H15" i="2"/>
  <c r="H16" i="2"/>
  <c r="H17" i="2"/>
  <c r="H18" i="2"/>
  <c r="H19" i="2"/>
  <c r="F5" i="6" s="1"/>
  <c r="H21" i="2"/>
  <c r="H22" i="2"/>
  <c r="H23" i="2"/>
  <c r="F26" i="6" s="1"/>
  <c r="H24" i="2"/>
  <c r="H25" i="2"/>
  <c r="H26" i="2"/>
  <c r="H27" i="2"/>
  <c r="H28" i="2"/>
  <c r="H29" i="2"/>
  <c r="H30" i="2"/>
  <c r="H31" i="2"/>
  <c r="H34" i="2"/>
  <c r="H35" i="2"/>
  <c r="H36" i="2"/>
  <c r="H37" i="2"/>
  <c r="A316" i="1"/>
  <c r="A317" i="1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47" i="1"/>
  <c r="A248" i="1"/>
  <c r="A249" i="1"/>
  <c r="A237" i="1"/>
  <c r="A238" i="1"/>
  <c r="A239" i="1"/>
  <c r="A240" i="1"/>
  <c r="A241" i="1"/>
  <c r="A242" i="1"/>
  <c r="A243" i="1"/>
  <c r="A244" i="1"/>
  <c r="A245" i="1"/>
  <c r="A246" i="1"/>
  <c r="A235" i="1"/>
  <c r="A236" i="1"/>
  <c r="A234" i="1"/>
  <c r="A219" i="1"/>
  <c r="A233" i="1"/>
  <c r="A230" i="1"/>
  <c r="A231" i="1"/>
  <c r="A232" i="1"/>
  <c r="A228" i="1"/>
  <c r="A229" i="1"/>
  <c r="A225" i="1"/>
  <c r="A226" i="1"/>
  <c r="A227" i="1"/>
  <c r="A209" i="1"/>
  <c r="A210" i="1"/>
  <c r="A211" i="1"/>
  <c r="A212" i="1"/>
  <c r="A213" i="1"/>
  <c r="A214" i="1"/>
  <c r="A215" i="1"/>
  <c r="A216" i="1"/>
  <c r="A217" i="1"/>
  <c r="A218" i="1"/>
  <c r="A220" i="1"/>
  <c r="A221" i="1"/>
  <c r="A222" i="1"/>
  <c r="A223" i="1"/>
  <c r="A224" i="1"/>
  <c r="A53" i="3"/>
  <c r="M53" i="3" s="1"/>
  <c r="A52" i="3"/>
  <c r="M52" i="3" s="1"/>
  <c r="A51" i="3"/>
  <c r="M51" i="3" s="1"/>
  <c r="A50" i="3"/>
  <c r="M50" i="3" s="1"/>
  <c r="A49" i="3"/>
  <c r="M49" i="3" s="1"/>
  <c r="A48" i="3"/>
  <c r="M48" i="3" s="1"/>
  <c r="A47" i="3"/>
  <c r="M47" i="3" s="1"/>
  <c r="A46" i="3"/>
  <c r="M46" i="3" s="1"/>
  <c r="A45" i="3"/>
  <c r="M45" i="3" s="1"/>
  <c r="A44" i="3"/>
  <c r="M44" i="3" s="1"/>
  <c r="A43" i="3"/>
  <c r="M43" i="3" s="1"/>
  <c r="A42" i="3"/>
  <c r="M42" i="3" s="1"/>
  <c r="A41" i="3"/>
  <c r="M41" i="3" s="1"/>
  <c r="A40" i="3"/>
  <c r="M40" i="3" s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181" i="1"/>
  <c r="A182" i="1"/>
  <c r="A183" i="1"/>
  <c r="A184" i="1"/>
  <c r="A185" i="1"/>
  <c r="A186" i="1"/>
  <c r="A187" i="1"/>
  <c r="A188" i="1"/>
  <c r="A189" i="1"/>
  <c r="A190" i="1"/>
  <c r="A178" i="1"/>
  <c r="A179" i="1"/>
  <c r="A180" i="1"/>
  <c r="A172" i="1"/>
  <c r="A173" i="1"/>
  <c r="A174" i="1"/>
  <c r="A175" i="1"/>
  <c r="A176" i="1"/>
  <c r="A177" i="1"/>
  <c r="A166" i="1"/>
  <c r="A167" i="1"/>
  <c r="A168" i="1"/>
  <c r="A169" i="1"/>
  <c r="A170" i="1"/>
  <c r="A171" i="1"/>
  <c r="A164" i="1"/>
  <c r="A165" i="1"/>
  <c r="A155" i="1"/>
  <c r="A156" i="1"/>
  <c r="A157" i="1"/>
  <c r="A158" i="1"/>
  <c r="A159" i="1"/>
  <c r="A160" i="1"/>
  <c r="A161" i="1"/>
  <c r="A162" i="1"/>
  <c r="A163" i="1"/>
  <c r="A151" i="1"/>
  <c r="A147" i="1"/>
  <c r="A148" i="1"/>
  <c r="A149" i="1"/>
  <c r="A150" i="1"/>
  <c r="A152" i="1"/>
  <c r="A153" i="1"/>
  <c r="A154" i="1"/>
  <c r="A144" i="1"/>
  <c r="A145" i="1"/>
  <c r="A146" i="1"/>
  <c r="A143" i="1"/>
  <c r="D40" i="3" l="1"/>
  <c r="E40" i="3"/>
  <c r="F40" i="3"/>
  <c r="H40" i="3"/>
  <c r="I40" i="3"/>
  <c r="J40" i="3"/>
  <c r="K40" i="3"/>
  <c r="L40" i="3"/>
  <c r="N40" i="3"/>
  <c r="D41" i="3"/>
  <c r="E41" i="3"/>
  <c r="F41" i="3"/>
  <c r="H41" i="3"/>
  <c r="I41" i="3"/>
  <c r="J41" i="3"/>
  <c r="K41" i="3"/>
  <c r="L41" i="3"/>
  <c r="N41" i="3"/>
  <c r="D42" i="3"/>
  <c r="E42" i="3"/>
  <c r="F42" i="3"/>
  <c r="H42" i="3"/>
  <c r="I42" i="3"/>
  <c r="J42" i="3"/>
  <c r="K42" i="3"/>
  <c r="L42" i="3"/>
  <c r="N42" i="3"/>
  <c r="D43" i="3"/>
  <c r="E43" i="3"/>
  <c r="F43" i="3"/>
  <c r="H43" i="3"/>
  <c r="I43" i="3"/>
  <c r="J43" i="3"/>
  <c r="K43" i="3"/>
  <c r="L43" i="3"/>
  <c r="N43" i="3"/>
  <c r="D44" i="3"/>
  <c r="E44" i="3"/>
  <c r="F44" i="3"/>
  <c r="H44" i="3"/>
  <c r="I44" i="3"/>
  <c r="J44" i="3"/>
  <c r="K44" i="3"/>
  <c r="L44" i="3"/>
  <c r="N44" i="3"/>
  <c r="D45" i="3"/>
  <c r="E45" i="3"/>
  <c r="F45" i="3"/>
  <c r="H45" i="3"/>
  <c r="I45" i="3"/>
  <c r="J45" i="3"/>
  <c r="K45" i="3"/>
  <c r="L45" i="3"/>
  <c r="N45" i="3"/>
  <c r="D46" i="3"/>
  <c r="E46" i="3"/>
  <c r="F46" i="3"/>
  <c r="H46" i="3"/>
  <c r="I46" i="3"/>
  <c r="J46" i="3"/>
  <c r="K46" i="3"/>
  <c r="L46" i="3"/>
  <c r="N46" i="3"/>
  <c r="D47" i="3"/>
  <c r="E47" i="3"/>
  <c r="F47" i="3"/>
  <c r="H47" i="3"/>
  <c r="I47" i="3"/>
  <c r="J47" i="3"/>
  <c r="K47" i="3"/>
  <c r="L47" i="3"/>
  <c r="N47" i="3"/>
  <c r="D48" i="3"/>
  <c r="E48" i="3"/>
  <c r="F48" i="3"/>
  <c r="H48" i="3"/>
  <c r="I48" i="3"/>
  <c r="J48" i="3"/>
  <c r="K48" i="3"/>
  <c r="L48" i="3"/>
  <c r="N48" i="3"/>
  <c r="D49" i="3"/>
  <c r="E49" i="3"/>
  <c r="F49" i="3"/>
  <c r="H49" i="3"/>
  <c r="I49" i="3"/>
  <c r="J49" i="3"/>
  <c r="K49" i="3"/>
  <c r="L49" i="3"/>
  <c r="N49" i="3"/>
  <c r="D50" i="3"/>
  <c r="E50" i="3"/>
  <c r="F50" i="3"/>
  <c r="H50" i="3"/>
  <c r="I50" i="3"/>
  <c r="J50" i="3"/>
  <c r="K50" i="3"/>
  <c r="L50" i="3"/>
  <c r="N50" i="3"/>
  <c r="D51" i="3"/>
  <c r="E51" i="3"/>
  <c r="F51" i="3"/>
  <c r="H51" i="3"/>
  <c r="I51" i="3"/>
  <c r="J51" i="3"/>
  <c r="K51" i="3"/>
  <c r="L51" i="3"/>
  <c r="N51" i="3"/>
  <c r="D52" i="3"/>
  <c r="E52" i="3"/>
  <c r="F52" i="3"/>
  <c r="H52" i="3"/>
  <c r="I52" i="3"/>
  <c r="J52" i="3"/>
  <c r="K52" i="3"/>
  <c r="L52" i="3"/>
  <c r="N52" i="3"/>
  <c r="D53" i="3"/>
  <c r="E53" i="3"/>
  <c r="F53" i="3"/>
  <c r="H53" i="3"/>
  <c r="I53" i="3"/>
  <c r="J53" i="3"/>
  <c r="K53" i="3"/>
  <c r="L53" i="3"/>
  <c r="N53" i="3"/>
  <c r="A141" i="1"/>
  <c r="A142" i="1"/>
  <c r="A138" i="1"/>
  <c r="A139" i="1"/>
  <c r="A140" i="1"/>
  <c r="A137" i="1"/>
  <c r="A135" i="1" l="1"/>
  <c r="A136" i="1"/>
  <c r="A133" i="1" l="1"/>
  <c r="A134" i="1"/>
  <c r="A129" i="1"/>
  <c r="A130" i="1"/>
  <c r="A131" i="1"/>
  <c r="A132" i="1"/>
  <c r="A125" i="1"/>
  <c r="A126" i="1"/>
  <c r="A127" i="1"/>
  <c r="A128" i="1"/>
  <c r="Q5" i="3" l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" i="3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" i="4"/>
  <c r="A4" i="3"/>
  <c r="B6" i="2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M32" i="3" s="1"/>
  <c r="A33" i="3"/>
  <c r="M33" i="3" s="1"/>
  <c r="A34" i="3"/>
  <c r="M34" i="3" s="1"/>
  <c r="A35" i="3"/>
  <c r="M35" i="3" s="1"/>
  <c r="A36" i="3"/>
  <c r="M36" i="3" s="1"/>
  <c r="A37" i="3"/>
  <c r="M37" i="3" s="1"/>
  <c r="A38" i="3"/>
  <c r="M38" i="3" s="1"/>
  <c r="A39" i="3"/>
  <c r="M39" i="3" s="1"/>
  <c r="C5" i="4" l="1"/>
  <c r="M5" i="4"/>
  <c r="M6" i="4"/>
  <c r="C6" i="4"/>
  <c r="M7" i="4"/>
  <c r="C7" i="4"/>
  <c r="M8" i="4"/>
  <c r="C8" i="4"/>
  <c r="C9" i="4"/>
  <c r="M9" i="4"/>
  <c r="M10" i="4"/>
  <c r="C10" i="4"/>
  <c r="M4" i="4"/>
  <c r="C4" i="4"/>
  <c r="C4" i="3"/>
  <c r="G4" i="3"/>
  <c r="B5" i="3"/>
  <c r="G5" i="3"/>
  <c r="C5" i="3"/>
  <c r="M26" i="3"/>
  <c r="M23" i="3"/>
  <c r="M21" i="3"/>
  <c r="M19" i="3"/>
  <c r="M17" i="3"/>
  <c r="M15" i="3"/>
  <c r="M13" i="3"/>
  <c r="M11" i="3"/>
  <c r="M9" i="3"/>
  <c r="M7" i="3"/>
  <c r="M31" i="3"/>
  <c r="M30" i="3"/>
  <c r="M29" i="3"/>
  <c r="M28" i="3"/>
  <c r="M27" i="3"/>
  <c r="M25" i="3"/>
  <c r="M24" i="3"/>
  <c r="M22" i="3"/>
  <c r="M20" i="3"/>
  <c r="M18" i="3"/>
  <c r="M16" i="3"/>
  <c r="M14" i="3"/>
  <c r="M12" i="3"/>
  <c r="M10" i="3"/>
  <c r="M8" i="3"/>
  <c r="M6" i="3"/>
  <c r="H4" i="3"/>
  <c r="K7" i="4"/>
  <c r="N7" i="4"/>
  <c r="E7" i="4"/>
  <c r="F7" i="4"/>
  <c r="H7" i="4"/>
  <c r="I7" i="4"/>
  <c r="G7" i="4"/>
  <c r="J7" i="4"/>
  <c r="B7" i="4"/>
  <c r="L7" i="4"/>
  <c r="D7" i="4"/>
  <c r="N8" i="4"/>
  <c r="L8" i="4"/>
  <c r="K8" i="4"/>
  <c r="E8" i="4"/>
  <c r="I8" i="4"/>
  <c r="G8" i="4"/>
  <c r="J8" i="4"/>
  <c r="B8" i="4"/>
  <c r="D8" i="4"/>
  <c r="H8" i="4"/>
  <c r="F8" i="4"/>
  <c r="B9" i="4"/>
  <c r="D9" i="4"/>
  <c r="E9" i="4"/>
  <c r="F9" i="4"/>
  <c r="G9" i="4"/>
  <c r="H9" i="4"/>
  <c r="I9" i="4"/>
  <c r="J9" i="4"/>
  <c r="K9" i="4"/>
  <c r="L9" i="4"/>
  <c r="N9" i="4"/>
  <c r="L10" i="4"/>
  <c r="K10" i="4"/>
  <c r="J10" i="4"/>
  <c r="I10" i="4"/>
  <c r="B10" i="4"/>
  <c r="H10" i="4"/>
  <c r="G10" i="4"/>
  <c r="F10" i="4"/>
  <c r="E10" i="4"/>
  <c r="D10" i="4"/>
  <c r="N10" i="4"/>
  <c r="F11" i="4"/>
  <c r="G11" i="4"/>
  <c r="B11" i="4"/>
  <c r="D11" i="4"/>
  <c r="H11" i="4"/>
  <c r="I11" i="4"/>
  <c r="J11" i="4"/>
  <c r="K11" i="4"/>
  <c r="L11" i="4"/>
  <c r="N11" i="4"/>
  <c r="E11" i="4"/>
  <c r="B12" i="4"/>
  <c r="D12" i="4"/>
  <c r="E12" i="4"/>
  <c r="F12" i="4"/>
  <c r="G12" i="4"/>
  <c r="H12" i="4"/>
  <c r="I12" i="4"/>
  <c r="J12" i="4"/>
  <c r="K12" i="4"/>
  <c r="L12" i="4"/>
  <c r="N12" i="4"/>
  <c r="F13" i="4"/>
  <c r="B13" i="4"/>
  <c r="D13" i="4"/>
  <c r="E13" i="4"/>
  <c r="G13" i="4"/>
  <c r="H13" i="4"/>
  <c r="I13" i="4"/>
  <c r="J13" i="4"/>
  <c r="K13" i="4"/>
  <c r="L13" i="4"/>
  <c r="N13" i="4"/>
  <c r="N14" i="4"/>
  <c r="L14" i="4"/>
  <c r="K14" i="4"/>
  <c r="J14" i="4"/>
  <c r="I14" i="4"/>
  <c r="H14" i="4"/>
  <c r="B14" i="4"/>
  <c r="D14" i="4"/>
  <c r="E14" i="4"/>
  <c r="F14" i="4"/>
  <c r="G14" i="4"/>
  <c r="I15" i="4"/>
  <c r="N15" i="4"/>
  <c r="L15" i="4"/>
  <c r="K15" i="4"/>
  <c r="J15" i="4"/>
  <c r="H15" i="4"/>
  <c r="G15" i="4"/>
  <c r="F15" i="4"/>
  <c r="E15" i="4"/>
  <c r="D15" i="4"/>
  <c r="B15" i="4"/>
  <c r="H16" i="4"/>
  <c r="G16" i="4"/>
  <c r="F16" i="4"/>
  <c r="E16" i="4"/>
  <c r="D16" i="4"/>
  <c r="B16" i="4"/>
  <c r="N16" i="4"/>
  <c r="L16" i="4"/>
  <c r="K16" i="4"/>
  <c r="J16" i="4"/>
  <c r="I16" i="4"/>
  <c r="F17" i="4"/>
  <c r="I17" i="4"/>
  <c r="N17" i="4"/>
  <c r="L17" i="4"/>
  <c r="K17" i="4"/>
  <c r="H17" i="4"/>
  <c r="J17" i="4"/>
  <c r="G17" i="4"/>
  <c r="B17" i="4"/>
  <c r="D17" i="4"/>
  <c r="E17" i="4"/>
  <c r="N18" i="4"/>
  <c r="B18" i="4"/>
  <c r="D18" i="4"/>
  <c r="E18" i="4"/>
  <c r="F18" i="4"/>
  <c r="H18" i="4"/>
  <c r="I18" i="4"/>
  <c r="J18" i="4"/>
  <c r="K18" i="4"/>
  <c r="L18" i="4"/>
  <c r="G18" i="4"/>
  <c r="N19" i="4"/>
  <c r="H19" i="4"/>
  <c r="G19" i="4"/>
  <c r="F19" i="4"/>
  <c r="E19" i="4"/>
  <c r="D19" i="4"/>
  <c r="B19" i="4"/>
  <c r="I19" i="4"/>
  <c r="J19" i="4"/>
  <c r="L19" i="4"/>
  <c r="K19" i="4"/>
  <c r="B20" i="4"/>
  <c r="K20" i="4"/>
  <c r="N20" i="4"/>
  <c r="J20" i="4"/>
  <c r="I20" i="4"/>
  <c r="H20" i="4"/>
  <c r="G20" i="4"/>
  <c r="F20" i="4"/>
  <c r="E20" i="4"/>
  <c r="D20" i="4"/>
  <c r="L20" i="4"/>
  <c r="I21" i="4"/>
  <c r="B21" i="4"/>
  <c r="D21" i="4"/>
  <c r="E21" i="4"/>
  <c r="F21" i="4"/>
  <c r="G21" i="4"/>
  <c r="H21" i="4"/>
  <c r="J21" i="4"/>
  <c r="K21" i="4"/>
  <c r="L21" i="4"/>
  <c r="N21" i="4"/>
  <c r="B22" i="4"/>
  <c r="N22" i="4"/>
  <c r="J22" i="4"/>
  <c r="K22" i="4"/>
  <c r="I22" i="4"/>
  <c r="L22" i="4"/>
  <c r="D22" i="4"/>
  <c r="E22" i="4"/>
  <c r="F22" i="4"/>
  <c r="G22" i="4"/>
  <c r="H22" i="4"/>
  <c r="G23" i="4"/>
  <c r="N23" i="4"/>
  <c r="F23" i="4"/>
  <c r="B23" i="4"/>
  <c r="H23" i="4"/>
  <c r="D23" i="4"/>
  <c r="E23" i="4"/>
  <c r="L23" i="4"/>
  <c r="K23" i="4"/>
  <c r="J23" i="4"/>
  <c r="I23" i="4"/>
  <c r="N24" i="4"/>
  <c r="L24" i="4"/>
  <c r="K24" i="4"/>
  <c r="B24" i="4"/>
  <c r="J24" i="4"/>
  <c r="D24" i="4"/>
  <c r="E24" i="4"/>
  <c r="F24" i="4"/>
  <c r="G24" i="4"/>
  <c r="H24" i="4"/>
  <c r="I24" i="4"/>
  <c r="B25" i="4"/>
  <c r="E25" i="4"/>
  <c r="F25" i="4"/>
  <c r="G25" i="4"/>
  <c r="H25" i="4"/>
  <c r="I25" i="4"/>
  <c r="J25" i="4"/>
  <c r="K25" i="4"/>
  <c r="L25" i="4"/>
  <c r="N25" i="4"/>
  <c r="D25" i="4"/>
  <c r="B26" i="4"/>
  <c r="D26" i="4"/>
  <c r="E26" i="4"/>
  <c r="F26" i="4"/>
  <c r="G26" i="4"/>
  <c r="H26" i="4"/>
  <c r="I26" i="4"/>
  <c r="J26" i="4"/>
  <c r="K26" i="4"/>
  <c r="L26" i="4"/>
  <c r="N26" i="4"/>
  <c r="N27" i="4"/>
  <c r="L27" i="4"/>
  <c r="K27" i="4"/>
  <c r="J27" i="4"/>
  <c r="B27" i="4"/>
  <c r="D27" i="4"/>
  <c r="E27" i="4"/>
  <c r="F27" i="4"/>
  <c r="G27" i="4"/>
  <c r="H27" i="4"/>
  <c r="I27" i="4"/>
  <c r="F28" i="4"/>
  <c r="I28" i="4"/>
  <c r="H28" i="4"/>
  <c r="J28" i="4"/>
  <c r="K28" i="4"/>
  <c r="L28" i="4"/>
  <c r="N28" i="4"/>
  <c r="D28" i="4"/>
  <c r="G28" i="4"/>
  <c r="B28" i="4"/>
  <c r="E28" i="4"/>
  <c r="H29" i="4"/>
  <c r="I29" i="4"/>
  <c r="K29" i="4"/>
  <c r="L29" i="4"/>
  <c r="N29" i="4"/>
  <c r="J29" i="4"/>
  <c r="B29" i="4"/>
  <c r="D29" i="4"/>
  <c r="E29" i="4"/>
  <c r="F29" i="4"/>
  <c r="G29" i="4"/>
  <c r="F30" i="4"/>
  <c r="I30" i="4"/>
  <c r="N30" i="4"/>
  <c r="L30" i="4"/>
  <c r="K30" i="4"/>
  <c r="J30" i="4"/>
  <c r="H30" i="4"/>
  <c r="G30" i="4"/>
  <c r="E30" i="4"/>
  <c r="D30" i="4"/>
  <c r="B30" i="4"/>
  <c r="D31" i="4"/>
  <c r="K31" i="4"/>
  <c r="J31" i="4"/>
  <c r="I31" i="4"/>
  <c r="H31" i="4"/>
  <c r="F31" i="4"/>
  <c r="E31" i="4"/>
  <c r="B31" i="4"/>
  <c r="N31" i="4"/>
  <c r="G31" i="4"/>
  <c r="L31" i="4"/>
  <c r="G32" i="4"/>
  <c r="B32" i="4"/>
  <c r="K32" i="4"/>
  <c r="N32" i="4"/>
  <c r="L32" i="4"/>
  <c r="J32" i="4"/>
  <c r="I32" i="4"/>
  <c r="H32" i="4"/>
  <c r="F32" i="4"/>
  <c r="E32" i="4"/>
  <c r="D32" i="4"/>
  <c r="B33" i="4"/>
  <c r="D33" i="4"/>
  <c r="E33" i="4"/>
  <c r="N33" i="4"/>
  <c r="H33" i="4"/>
  <c r="F33" i="4"/>
  <c r="G33" i="4"/>
  <c r="I33" i="4"/>
  <c r="J33" i="4"/>
  <c r="K33" i="4"/>
  <c r="L33" i="4"/>
  <c r="B34" i="4"/>
  <c r="N34" i="4"/>
  <c r="L34" i="4"/>
  <c r="K34" i="4"/>
  <c r="J34" i="4"/>
  <c r="I34" i="4"/>
  <c r="H34" i="4"/>
  <c r="G34" i="4"/>
  <c r="F34" i="4"/>
  <c r="E34" i="4"/>
  <c r="D34" i="4"/>
  <c r="F35" i="4"/>
  <c r="I35" i="4"/>
  <c r="G35" i="4"/>
  <c r="B35" i="4"/>
  <c r="J35" i="4"/>
  <c r="K35" i="4"/>
  <c r="L35" i="4"/>
  <c r="H35" i="4"/>
  <c r="N35" i="4"/>
  <c r="D35" i="4"/>
  <c r="E35" i="4"/>
  <c r="I36" i="4"/>
  <c r="J36" i="4"/>
  <c r="K36" i="4"/>
  <c r="L36" i="4"/>
  <c r="H36" i="4"/>
  <c r="N36" i="4"/>
  <c r="G36" i="4"/>
  <c r="F36" i="4"/>
  <c r="E36" i="4"/>
  <c r="D36" i="4"/>
  <c r="B36" i="4"/>
  <c r="B37" i="4"/>
  <c r="D37" i="4"/>
  <c r="E37" i="4"/>
  <c r="F37" i="4"/>
  <c r="G37" i="4"/>
  <c r="H37" i="4"/>
  <c r="N37" i="4"/>
  <c r="L37" i="4"/>
  <c r="K37" i="4"/>
  <c r="J37" i="4"/>
  <c r="I37" i="4"/>
  <c r="E38" i="4"/>
  <c r="D38" i="4"/>
  <c r="B38" i="4"/>
  <c r="F38" i="4"/>
  <c r="G38" i="4"/>
  <c r="H38" i="4"/>
  <c r="I38" i="4"/>
  <c r="J38" i="4"/>
  <c r="K38" i="4"/>
  <c r="L38" i="4"/>
  <c r="N38" i="4"/>
  <c r="B39" i="4"/>
  <c r="F39" i="4"/>
  <c r="G39" i="4"/>
  <c r="H39" i="4"/>
  <c r="I39" i="4"/>
  <c r="J39" i="4"/>
  <c r="L39" i="4"/>
  <c r="N39" i="4"/>
  <c r="E39" i="4"/>
  <c r="D39" i="4"/>
  <c r="K39" i="4"/>
  <c r="K7" i="3"/>
  <c r="H7" i="3"/>
  <c r="J7" i="3"/>
  <c r="I7" i="3"/>
  <c r="D7" i="3"/>
  <c r="N7" i="3"/>
  <c r="L7" i="3"/>
  <c r="E7" i="3"/>
  <c r="F7" i="3"/>
  <c r="H8" i="3"/>
  <c r="I8" i="3"/>
  <c r="J8" i="3"/>
  <c r="K8" i="3"/>
  <c r="L8" i="3"/>
  <c r="E8" i="3"/>
  <c r="N8" i="3"/>
  <c r="F8" i="3"/>
  <c r="D8" i="3"/>
  <c r="D9" i="3"/>
  <c r="E9" i="3"/>
  <c r="L9" i="3"/>
  <c r="N9" i="3"/>
  <c r="K9" i="3"/>
  <c r="J9" i="3"/>
  <c r="I9" i="3"/>
  <c r="H9" i="3"/>
  <c r="F9" i="3"/>
  <c r="I10" i="3"/>
  <c r="H10" i="3"/>
  <c r="F10" i="3"/>
  <c r="E10" i="3"/>
  <c r="D10" i="3"/>
  <c r="N10" i="3"/>
  <c r="K10" i="3"/>
  <c r="L10" i="3"/>
  <c r="J10" i="3"/>
  <c r="F11" i="3"/>
  <c r="E11" i="3"/>
  <c r="D11" i="3"/>
  <c r="J11" i="3"/>
  <c r="N11" i="3"/>
  <c r="L11" i="3"/>
  <c r="K11" i="3"/>
  <c r="I11" i="3"/>
  <c r="H11" i="3"/>
  <c r="J12" i="3"/>
  <c r="F12" i="3"/>
  <c r="E12" i="3"/>
  <c r="D12" i="3"/>
  <c r="H12" i="3"/>
  <c r="N12" i="3"/>
  <c r="L12" i="3"/>
  <c r="K12" i="3"/>
  <c r="I12" i="3"/>
  <c r="N13" i="3"/>
  <c r="L13" i="3"/>
  <c r="K13" i="3"/>
  <c r="J13" i="3"/>
  <c r="I13" i="3"/>
  <c r="H13" i="3"/>
  <c r="F13" i="3"/>
  <c r="E13" i="3"/>
  <c r="D13" i="3"/>
  <c r="I14" i="3"/>
  <c r="J14" i="3"/>
  <c r="K14" i="3"/>
  <c r="N14" i="3"/>
  <c r="H14" i="3"/>
  <c r="F14" i="3"/>
  <c r="E14" i="3"/>
  <c r="D14" i="3"/>
  <c r="L14" i="3"/>
  <c r="L15" i="3"/>
  <c r="D15" i="3"/>
  <c r="E15" i="3"/>
  <c r="F15" i="3"/>
  <c r="H15" i="3"/>
  <c r="I15" i="3"/>
  <c r="J15" i="3"/>
  <c r="K15" i="3"/>
  <c r="N15" i="3"/>
  <c r="K16" i="3"/>
  <c r="L16" i="3"/>
  <c r="J16" i="3"/>
  <c r="I16" i="3"/>
  <c r="H16" i="3"/>
  <c r="F16" i="3"/>
  <c r="E16" i="3"/>
  <c r="D16" i="3"/>
  <c r="N16" i="3"/>
  <c r="H17" i="3"/>
  <c r="I17" i="3"/>
  <c r="J17" i="3"/>
  <c r="K17" i="3"/>
  <c r="L17" i="3"/>
  <c r="N17" i="3"/>
  <c r="D17" i="3"/>
  <c r="E17" i="3"/>
  <c r="F17" i="3"/>
  <c r="H18" i="3"/>
  <c r="I18" i="3"/>
  <c r="J18" i="3"/>
  <c r="K18" i="3"/>
  <c r="L18" i="3"/>
  <c r="N18" i="3"/>
  <c r="D18" i="3"/>
  <c r="E18" i="3"/>
  <c r="F18" i="3"/>
  <c r="J19" i="3"/>
  <c r="N19" i="3"/>
  <c r="L19" i="3"/>
  <c r="K19" i="3"/>
  <c r="I19" i="3"/>
  <c r="H19" i="3"/>
  <c r="F19" i="3"/>
  <c r="E19" i="3"/>
  <c r="D19" i="3"/>
  <c r="D20" i="3"/>
  <c r="J20" i="3"/>
  <c r="K20" i="3"/>
  <c r="L20" i="3"/>
  <c r="N20" i="3"/>
  <c r="E20" i="3"/>
  <c r="F20" i="3"/>
  <c r="H20" i="3"/>
  <c r="I20" i="3"/>
  <c r="F21" i="3"/>
  <c r="D21" i="3"/>
  <c r="N21" i="3"/>
  <c r="E21" i="3"/>
  <c r="L21" i="3"/>
  <c r="K21" i="3"/>
  <c r="J21" i="3"/>
  <c r="I21" i="3"/>
  <c r="H21" i="3"/>
  <c r="N22" i="3"/>
  <c r="D22" i="3"/>
  <c r="E22" i="3"/>
  <c r="F22" i="3"/>
  <c r="H22" i="3"/>
  <c r="I22" i="3"/>
  <c r="J22" i="3"/>
  <c r="K22" i="3"/>
  <c r="L22" i="3"/>
  <c r="N23" i="3"/>
  <c r="H23" i="3"/>
  <c r="J23" i="3"/>
  <c r="K23" i="3"/>
  <c r="L23" i="3"/>
  <c r="I23" i="3"/>
  <c r="E23" i="3"/>
  <c r="F23" i="3"/>
  <c r="D23" i="3"/>
  <c r="N24" i="3"/>
  <c r="L24" i="3"/>
  <c r="K24" i="3"/>
  <c r="J24" i="3"/>
  <c r="I24" i="3"/>
  <c r="D24" i="3"/>
  <c r="E24" i="3"/>
  <c r="F24" i="3"/>
  <c r="H24" i="3"/>
  <c r="I25" i="3"/>
  <c r="J25" i="3"/>
  <c r="K25" i="3"/>
  <c r="L25" i="3"/>
  <c r="N25" i="3"/>
  <c r="H25" i="3"/>
  <c r="F25" i="3"/>
  <c r="E25" i="3"/>
  <c r="D25" i="3"/>
  <c r="I26" i="3"/>
  <c r="D26" i="3"/>
  <c r="E26" i="3"/>
  <c r="H26" i="3"/>
  <c r="J26" i="3"/>
  <c r="L26" i="3"/>
  <c r="F26" i="3"/>
  <c r="K26" i="3"/>
  <c r="N26" i="3"/>
  <c r="N27" i="3"/>
  <c r="L27" i="3"/>
  <c r="K27" i="3"/>
  <c r="D27" i="3"/>
  <c r="I27" i="3"/>
  <c r="J27" i="3"/>
  <c r="F27" i="3"/>
  <c r="E27" i="3"/>
  <c r="H27" i="3"/>
  <c r="D28" i="3"/>
  <c r="N28" i="3"/>
  <c r="E28" i="3"/>
  <c r="F28" i="3"/>
  <c r="H28" i="3"/>
  <c r="I28" i="3"/>
  <c r="J28" i="3"/>
  <c r="K28" i="3"/>
  <c r="L28" i="3"/>
  <c r="K29" i="3"/>
  <c r="N29" i="3"/>
  <c r="L29" i="3"/>
  <c r="J29" i="3"/>
  <c r="I29" i="3"/>
  <c r="H29" i="3"/>
  <c r="F29" i="3"/>
  <c r="E29" i="3"/>
  <c r="D29" i="3"/>
  <c r="D30" i="3"/>
  <c r="N30" i="3"/>
  <c r="L30" i="3"/>
  <c r="K30" i="3"/>
  <c r="J30" i="3"/>
  <c r="I30" i="3"/>
  <c r="H30" i="3"/>
  <c r="F30" i="3"/>
  <c r="E30" i="3"/>
  <c r="D31" i="3"/>
  <c r="L31" i="3"/>
  <c r="J31" i="3"/>
  <c r="N31" i="3"/>
  <c r="K31" i="3"/>
  <c r="E31" i="3"/>
  <c r="F31" i="3"/>
  <c r="H31" i="3"/>
  <c r="I31" i="3"/>
  <c r="N32" i="3"/>
  <c r="L32" i="3"/>
  <c r="K32" i="3"/>
  <c r="J32" i="3"/>
  <c r="I32" i="3"/>
  <c r="H32" i="3"/>
  <c r="E32" i="3"/>
  <c r="D32" i="3"/>
  <c r="F32" i="3"/>
  <c r="J33" i="3"/>
  <c r="I33" i="3"/>
  <c r="N33" i="3"/>
  <c r="H33" i="3"/>
  <c r="L33" i="3"/>
  <c r="K33" i="3"/>
  <c r="F33" i="3"/>
  <c r="E33" i="3"/>
  <c r="D33" i="3"/>
  <c r="D34" i="3"/>
  <c r="N34" i="3"/>
  <c r="L34" i="3"/>
  <c r="K34" i="3"/>
  <c r="J34" i="3"/>
  <c r="I34" i="3"/>
  <c r="H34" i="3"/>
  <c r="F34" i="3"/>
  <c r="E34" i="3"/>
  <c r="N35" i="3"/>
  <c r="L35" i="3"/>
  <c r="J35" i="3"/>
  <c r="I35" i="3"/>
  <c r="H35" i="3"/>
  <c r="K35" i="3"/>
  <c r="E35" i="3"/>
  <c r="D35" i="3"/>
  <c r="F35" i="3"/>
  <c r="I36" i="3"/>
  <c r="F36" i="3"/>
  <c r="E36" i="3"/>
  <c r="H36" i="3"/>
  <c r="D36" i="3"/>
  <c r="K36" i="3"/>
  <c r="L36" i="3"/>
  <c r="N36" i="3"/>
  <c r="J36" i="3"/>
  <c r="I37" i="3"/>
  <c r="H37" i="3"/>
  <c r="E37" i="3"/>
  <c r="D37" i="3"/>
  <c r="F37" i="3"/>
  <c r="N37" i="3"/>
  <c r="L37" i="3"/>
  <c r="K37" i="3"/>
  <c r="J37" i="3"/>
  <c r="N38" i="3"/>
  <c r="L38" i="3"/>
  <c r="K38" i="3"/>
  <c r="J38" i="3"/>
  <c r="H38" i="3"/>
  <c r="F38" i="3"/>
  <c r="E38" i="3"/>
  <c r="D38" i="3"/>
  <c r="I38" i="3"/>
  <c r="D39" i="3"/>
  <c r="E39" i="3"/>
  <c r="F39" i="3"/>
  <c r="I39" i="3"/>
  <c r="J39" i="3"/>
  <c r="K39" i="3"/>
  <c r="L39" i="3"/>
  <c r="N39" i="3"/>
  <c r="H39" i="3"/>
  <c r="J5" i="4"/>
  <c r="L5" i="4"/>
  <c r="N5" i="4"/>
  <c r="J6" i="4"/>
  <c r="L6" i="4"/>
  <c r="N6" i="4"/>
  <c r="N4" i="4"/>
  <c r="L4" i="4"/>
  <c r="J4" i="4"/>
  <c r="N4" i="3"/>
  <c r="N5" i="3"/>
  <c r="N6" i="3"/>
  <c r="J4" i="3"/>
  <c r="L4" i="3"/>
  <c r="J6" i="3"/>
  <c r="L6" i="3"/>
  <c r="J5" i="3"/>
  <c r="L5" i="3"/>
  <c r="B5" i="4" l="1"/>
  <c r="E5" i="4"/>
  <c r="D6" i="4"/>
  <c r="B4" i="4"/>
  <c r="I4" i="4"/>
  <c r="K4" i="4"/>
  <c r="B6" i="4"/>
  <c r="G4" i="4"/>
  <c r="D5" i="4"/>
  <c r="H4" i="4"/>
  <c r="K5" i="4"/>
  <c r="I6" i="4"/>
  <c r="I5" i="4"/>
  <c r="K6" i="4"/>
  <c r="H6" i="4"/>
  <c r="E4" i="4"/>
  <c r="H5" i="4"/>
  <c r="F4" i="4"/>
  <c r="G6" i="4"/>
  <c r="D4" i="4"/>
  <c r="F6" i="4"/>
  <c r="G5" i="4"/>
  <c r="H6" i="3"/>
  <c r="E6" i="4"/>
  <c r="F5" i="4"/>
  <c r="H5" i="3"/>
  <c r="B4" i="3" l="1"/>
  <c r="I6" i="3"/>
  <c r="I5" i="3"/>
  <c r="I4" i="3"/>
  <c r="F6" i="3" l="1"/>
  <c r="F5" i="3"/>
  <c r="F4" i="3"/>
  <c r="K6" i="3" l="1"/>
  <c r="K5" i="3"/>
  <c r="K4" i="3"/>
  <c r="D5" i="3" l="1"/>
  <c r="D6" i="3"/>
  <c r="D4" i="3"/>
  <c r="E6" i="3" l="1"/>
  <c r="E5" i="3"/>
  <c r="E4" i="3"/>
  <c r="M4" i="3" l="1"/>
  <c r="M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Guija</author>
    <author>David Bravo Flores</author>
    <author>tc={25FBC4E3-0E86-4D93-AE94-BF090776B8F8}</author>
  </authors>
  <commentList>
    <comment ref="F7" authorId="0" shapeId="0" xr:uid="{BF1385C4-1F04-497E-BDA2-D3ED2490E50E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1: DNI o L.E.
2: RUC
3 : Carnet Militar
4 : Carnet de Extranjeria
5 : Pasaporte</t>
        </r>
      </text>
    </comment>
    <comment ref="I7" authorId="1" shapeId="0" xr:uid="{5EEA8B2D-A391-49A9-AD2E-7DBF04E90EB9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L7" authorId="2" shapeId="0" xr:uid="{25FBC4E3-0E86-4D93-AE94-BF090776B8F8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NO SE PUEDEN CONSIGNAR FECHA  EN EL SIGUIENTE FORMATO (XX/XX/XXX), SOLO SIN PARENTESIS, SIN ",":"
SIN COMAS,SIN PUNTO, SIN DOS PUNTOS
NINGUN CARACTER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Guija</author>
    <author>BBVA</author>
    <author>David Bravo Flores</author>
  </authors>
  <commentList>
    <comment ref="B3" authorId="0" shapeId="0" xr:uid="{4340D0C1-5D8A-4B04-BFA5-2CF8A239F953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L : DNI o L.E.
R : RUC
M : Carnet Militar
E : Carnet de Extranjeria
P : Pasaporte</t>
        </r>
      </text>
    </comment>
    <comment ref="D3" authorId="1" shapeId="0" xr:uid="{832DEE64-2B1E-43BF-9FCB-4ABD5BE03EEC}">
      <text>
        <r>
          <rPr>
            <b/>
            <sz val="8"/>
            <color indexed="81"/>
            <rFont val="Tahoma"/>
            <family val="2"/>
          </rPr>
          <t>Tipo de Abono</t>
        </r>
        <r>
          <rPr>
            <sz val="8"/>
            <color indexed="81"/>
            <rFont val="Tahoma"/>
            <family val="2"/>
          </rPr>
          <t xml:space="preserve">
P : Propio banco 
I : Interbancario</t>
        </r>
      </text>
    </comment>
    <comment ref="E3" authorId="0" shapeId="0" xr:uid="{547CD4B1-3EF9-4CF0-94D4-FD62D6BD6D37}">
      <text>
        <r>
          <rPr>
            <b/>
            <sz val="8"/>
            <color indexed="81"/>
            <rFont val="Tahoma"/>
            <family val="2"/>
          </rPr>
          <t xml:space="preserve">Núm Cta Abono: De 20 caracteres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Si Tipo Abono = P
</t>
        </r>
        <r>
          <rPr>
            <sz val="8"/>
            <color indexed="81"/>
            <rFont val="Tahoma"/>
            <family val="2"/>
          </rPr>
          <t xml:space="preserve">0011xxxxDCnnnnnnnnnn
Donde.
xxxx = Oficina
DC = Dígitos de control
nnnnnnnnnn = Núm. Cuenta
si no conoce DC, ingresar '00'
</t>
        </r>
        <r>
          <rPr>
            <b/>
            <sz val="8"/>
            <color indexed="81"/>
            <rFont val="Tahoma"/>
            <family val="2"/>
          </rPr>
          <t xml:space="preserve">Si Tipo Abono = I
</t>
        </r>
        <r>
          <rPr>
            <sz val="8"/>
            <color indexed="81"/>
            <rFont val="Tahoma"/>
            <family val="2"/>
          </rPr>
          <t xml:space="preserve">la cuenta debe ser la CCI </t>
        </r>
      </text>
    </comment>
    <comment ref="F3" authorId="2" shapeId="0" xr:uid="{587014EB-D561-422A-B7BF-9D2F0D501C6B}">
      <text>
        <r>
          <rPr>
            <b/>
            <sz val="8"/>
            <color indexed="81"/>
            <rFont val="Tahoma"/>
            <family val="2"/>
          </rPr>
          <t xml:space="preserve">Nombre de Beneficiario:
</t>
        </r>
        <r>
          <rPr>
            <sz val="8"/>
            <color indexed="81"/>
            <rFont val="Tahoma"/>
            <family val="2"/>
          </rPr>
          <t>Campo Obligatorio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2" shapeId="0" xr:uid="{2D4616FC-2ECD-48A7-86E6-92DCB7375F23}">
      <text>
        <r>
          <rPr>
            <b/>
            <sz val="8"/>
            <color indexed="81"/>
            <rFont val="Tahoma"/>
            <family val="2"/>
          </rPr>
          <t xml:space="preserve">Importe a Abonar:
</t>
        </r>
        <r>
          <rPr>
            <sz val="8"/>
            <color indexed="81"/>
            <rFont val="Tahoma"/>
            <family val="2"/>
          </rPr>
          <t xml:space="preserve">Máximo 15 dígitos, </t>
        </r>
        <r>
          <rPr>
            <b/>
            <sz val="8"/>
            <color indexed="81"/>
            <rFont val="Tahoma"/>
            <family val="2"/>
          </rPr>
          <t xml:space="preserve">13 enteros y 2 
decimales, </t>
        </r>
        <r>
          <rPr>
            <sz val="8"/>
            <color indexed="81"/>
            <rFont val="Tahoma"/>
            <family val="2"/>
          </rPr>
          <t>separados por "."</t>
        </r>
      </text>
    </comment>
    <comment ref="H3" authorId="2" shapeId="0" xr:uid="{87FA44EA-703B-444F-8D6C-1F42498EE9D0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J3" authorId="2" shapeId="0" xr:uid="{9CE58C2B-A092-4D54-AD99-9588CC21619A}">
      <text>
        <r>
          <rPr>
            <b/>
            <sz val="8"/>
            <color indexed="81"/>
            <rFont val="Tahoma"/>
            <family val="2"/>
          </rPr>
          <t xml:space="preserve">Abono Agrupado:
</t>
        </r>
        <r>
          <rPr>
            <sz val="8"/>
            <color indexed="81"/>
            <rFont val="Tahoma"/>
            <family val="2"/>
          </rPr>
          <t>N : Abono individual
S : Abono agrupado</t>
        </r>
      </text>
    </comment>
    <comment ref="K3" authorId="0" shapeId="0" xr:uid="{E83C4D70-B3B5-4971-8486-DE20740E52ED}">
      <text>
        <r>
          <rPr>
            <b/>
            <sz val="8"/>
            <color indexed="81"/>
            <rFont val="Tahoma"/>
            <family val="2"/>
          </rPr>
          <t xml:space="preserve">Referencia:
</t>
        </r>
        <r>
          <rPr>
            <sz val="8"/>
            <color indexed="81"/>
            <rFont val="Tahoma"/>
            <family val="2"/>
          </rPr>
          <t>Descripción del abono a realizar</t>
        </r>
      </text>
    </comment>
    <comment ref="L3" authorId="0" shapeId="0" xr:uid="{2ABDA9E9-3796-4E4F-9E20-7A83899D3207}">
      <text>
        <r>
          <rPr>
            <b/>
            <sz val="8"/>
            <color indexed="81"/>
            <rFont val="Tahoma"/>
            <family val="2"/>
          </rPr>
          <t xml:space="preserve">Indicador de aviso:
</t>
        </r>
        <r>
          <rPr>
            <sz val="8"/>
            <color indexed="81"/>
            <rFont val="Tahoma"/>
            <family val="2"/>
          </rPr>
          <t>Medio de envío de aviso de confirmación de aviso:
* E : e-mail
* C : celular, sólo Movistar</t>
        </r>
      </text>
    </comment>
    <comment ref="M3" authorId="0" shapeId="0" xr:uid="{EC11CD1E-BF1F-4DDB-8BAB-0BCD56C3EEFB}">
      <text>
        <r>
          <rPr>
            <b/>
            <sz val="8"/>
            <color indexed="81"/>
            <rFont val="Tahoma"/>
            <family val="2"/>
          </rPr>
          <t xml:space="preserve">Medio de Aviso:
</t>
        </r>
        <r>
          <rPr>
            <sz val="8"/>
            <color indexed="81"/>
            <rFont val="Tahoma"/>
            <family val="2"/>
          </rPr>
          <t>Ingresar la dirección de e-mail o número de celular, según corresponda</t>
        </r>
      </text>
    </comment>
    <comment ref="R3" authorId="0" shapeId="0" xr:uid="{92158C93-D660-4E08-9498-D07566940A06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L : DNI o L.E.
R : RUC
M : Carnet Militar
E : Carnet de Extranjeria
P : Pasaporte</t>
        </r>
      </text>
    </comment>
    <comment ref="T3" authorId="1" shapeId="0" xr:uid="{92162C6C-16DE-4793-B994-821DCD9C3191}">
      <text>
        <r>
          <rPr>
            <b/>
            <sz val="8"/>
            <color indexed="81"/>
            <rFont val="Tahoma"/>
            <family val="2"/>
          </rPr>
          <t>Tipo de Abono</t>
        </r>
        <r>
          <rPr>
            <sz val="8"/>
            <color indexed="81"/>
            <rFont val="Tahoma"/>
            <family val="2"/>
          </rPr>
          <t xml:space="preserve">
P : Propio banco 
I : Interbancario</t>
        </r>
      </text>
    </comment>
    <comment ref="U3" authorId="0" shapeId="0" xr:uid="{14FA7C84-BA44-4DBF-B447-27BCA5641541}">
      <text>
        <r>
          <rPr>
            <b/>
            <sz val="8"/>
            <color indexed="81"/>
            <rFont val="Tahoma"/>
            <family val="2"/>
          </rPr>
          <t xml:space="preserve">Núm Cta Abono: De 20 caracteres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Si Tipo Abono = P
</t>
        </r>
        <r>
          <rPr>
            <sz val="8"/>
            <color indexed="81"/>
            <rFont val="Tahoma"/>
            <family val="2"/>
          </rPr>
          <t xml:space="preserve">0011xxxxDCnnnnnnnnnn
Donde.
xxxx = Oficina
DC = Dígitos de control
nnnnnnnnnn = Núm. Cuenta
si no conoce DC, ingresar '00'
</t>
        </r>
        <r>
          <rPr>
            <b/>
            <sz val="8"/>
            <color indexed="81"/>
            <rFont val="Tahoma"/>
            <family val="2"/>
          </rPr>
          <t xml:space="preserve">Si Tipo Abono = I
</t>
        </r>
        <r>
          <rPr>
            <sz val="8"/>
            <color indexed="81"/>
            <rFont val="Tahoma"/>
            <family val="2"/>
          </rPr>
          <t xml:space="preserve">la cuenta debe ser la CCI </t>
        </r>
      </text>
    </comment>
    <comment ref="V3" authorId="2" shapeId="0" xr:uid="{5EAE05A1-585D-4ECA-A53C-9000407C80A5}">
      <text>
        <r>
          <rPr>
            <b/>
            <sz val="8"/>
            <color indexed="81"/>
            <rFont val="Tahoma"/>
            <family val="2"/>
          </rPr>
          <t xml:space="preserve">Nombre de Beneficiario:
</t>
        </r>
        <r>
          <rPr>
            <sz val="8"/>
            <color indexed="81"/>
            <rFont val="Tahoma"/>
            <family val="2"/>
          </rPr>
          <t>Campo Obligatorio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3" authorId="2" shapeId="0" xr:uid="{8CD2FC34-3E14-41D5-9FE1-0EE3025038CE}">
      <text>
        <r>
          <rPr>
            <b/>
            <sz val="8"/>
            <color indexed="81"/>
            <rFont val="Tahoma"/>
            <family val="2"/>
          </rPr>
          <t xml:space="preserve">Importe a Abonar:
</t>
        </r>
        <r>
          <rPr>
            <sz val="8"/>
            <color indexed="81"/>
            <rFont val="Tahoma"/>
            <family val="2"/>
          </rPr>
          <t xml:space="preserve">Máximo 15 dígitos, </t>
        </r>
        <r>
          <rPr>
            <b/>
            <sz val="8"/>
            <color indexed="81"/>
            <rFont val="Tahoma"/>
            <family val="2"/>
          </rPr>
          <t xml:space="preserve">13 enteros y 2 
decimales, </t>
        </r>
        <r>
          <rPr>
            <sz val="8"/>
            <color indexed="81"/>
            <rFont val="Tahoma"/>
            <family val="2"/>
          </rPr>
          <t>separados por "."</t>
        </r>
      </text>
    </comment>
    <comment ref="X3" authorId="2" shapeId="0" xr:uid="{10C2C4B0-EB57-4E4F-8A5F-25AFF4BD11F0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Z3" authorId="2" shapeId="0" xr:uid="{F35BFA0E-6381-4CCC-9984-171E2766A806}">
      <text>
        <r>
          <rPr>
            <b/>
            <sz val="8"/>
            <color indexed="81"/>
            <rFont val="Tahoma"/>
            <family val="2"/>
          </rPr>
          <t xml:space="preserve">Abono Agrupado:
</t>
        </r>
        <r>
          <rPr>
            <sz val="8"/>
            <color indexed="81"/>
            <rFont val="Tahoma"/>
            <family val="2"/>
          </rPr>
          <t>N : Abono individual
S : Abono agrupado</t>
        </r>
      </text>
    </comment>
    <comment ref="AA3" authorId="0" shapeId="0" xr:uid="{D82B457E-0CCA-45C2-9FAA-627A169C8CB1}">
      <text>
        <r>
          <rPr>
            <b/>
            <sz val="8"/>
            <color indexed="81"/>
            <rFont val="Tahoma"/>
            <family val="2"/>
          </rPr>
          <t xml:space="preserve">Referencia:
</t>
        </r>
        <r>
          <rPr>
            <sz val="8"/>
            <color indexed="81"/>
            <rFont val="Tahoma"/>
            <family val="2"/>
          </rPr>
          <t>Descripción del abono a realizar</t>
        </r>
      </text>
    </comment>
    <comment ref="AB3" authorId="0" shapeId="0" xr:uid="{BBA74CF1-4BBF-44C7-8AB8-D0C3033FAEA2}">
      <text>
        <r>
          <rPr>
            <b/>
            <sz val="8"/>
            <color indexed="81"/>
            <rFont val="Tahoma"/>
            <family val="2"/>
          </rPr>
          <t xml:space="preserve">Indicador de aviso:
</t>
        </r>
        <r>
          <rPr>
            <sz val="8"/>
            <color indexed="81"/>
            <rFont val="Tahoma"/>
            <family val="2"/>
          </rPr>
          <t>Medio de envío de aviso de confirmación de aviso:
* E : e-mail
* C : celular, sólo Movistar</t>
        </r>
      </text>
    </comment>
    <comment ref="AC3" authorId="0" shapeId="0" xr:uid="{9C0B90AC-058A-424A-ACE7-4B2010BA865D}">
      <text>
        <r>
          <rPr>
            <b/>
            <sz val="8"/>
            <color indexed="81"/>
            <rFont val="Tahoma"/>
            <family val="2"/>
          </rPr>
          <t xml:space="preserve">Medio de Aviso:
</t>
        </r>
        <r>
          <rPr>
            <sz val="8"/>
            <color indexed="81"/>
            <rFont val="Tahoma"/>
            <family val="2"/>
          </rPr>
          <t>Ingresar la dirección de e-mail o número de celular, según corresponda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Guija</author>
    <author>BBVA</author>
    <author>David Bravo Flores</author>
  </authors>
  <commentList>
    <comment ref="B3" authorId="0" shapeId="0" xr:uid="{9B3FC6AC-93BA-4E97-9E70-52874CA3C3BF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L : DNI o L.E.
R : RUC
M : Carnet Militar
E : Carnet de Extranjeria
P : Pasaporte</t>
        </r>
      </text>
    </comment>
    <comment ref="D3" authorId="1" shapeId="0" xr:uid="{EEE0A6E0-1687-4416-B656-86C4228442E9}">
      <text>
        <r>
          <rPr>
            <b/>
            <sz val="8"/>
            <color indexed="81"/>
            <rFont val="Tahoma"/>
            <family val="2"/>
          </rPr>
          <t>Tipo de Abono</t>
        </r>
        <r>
          <rPr>
            <sz val="8"/>
            <color indexed="81"/>
            <rFont val="Tahoma"/>
            <family val="2"/>
          </rPr>
          <t xml:space="preserve">
P : Propio banco 
I : Interbancario</t>
        </r>
      </text>
    </comment>
    <comment ref="E3" authorId="0" shapeId="0" xr:uid="{D42DB312-910D-4FC1-BF2D-32997227FE1D}">
      <text>
        <r>
          <rPr>
            <b/>
            <sz val="8"/>
            <color indexed="81"/>
            <rFont val="Tahoma"/>
            <family val="2"/>
          </rPr>
          <t xml:space="preserve">Núm Cta Abono: De 20 caracteres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Si Tipo Abono = P
</t>
        </r>
        <r>
          <rPr>
            <sz val="8"/>
            <color indexed="81"/>
            <rFont val="Tahoma"/>
            <family val="2"/>
          </rPr>
          <t xml:space="preserve">0011xxxxDCnnnnnnnnnn
Donde.
xxxx = Oficina
DC = Dígitos de control
nnnnnnnnnn = Núm. Cuenta
si no conoce DC, ingresar '00'
</t>
        </r>
        <r>
          <rPr>
            <b/>
            <sz val="8"/>
            <color indexed="81"/>
            <rFont val="Tahoma"/>
            <family val="2"/>
          </rPr>
          <t xml:space="preserve">Si Tipo Abono = I
</t>
        </r>
        <r>
          <rPr>
            <sz val="8"/>
            <color indexed="81"/>
            <rFont val="Tahoma"/>
            <family val="2"/>
          </rPr>
          <t xml:space="preserve">la cuenta debe ser la CCI </t>
        </r>
      </text>
    </comment>
    <comment ref="F3" authorId="2" shapeId="0" xr:uid="{82EFCA78-11BB-48A7-8161-3B1298FBCEB1}">
      <text>
        <r>
          <rPr>
            <b/>
            <sz val="8"/>
            <color indexed="81"/>
            <rFont val="Tahoma"/>
            <family val="2"/>
          </rPr>
          <t xml:space="preserve">Nombre de Beneficiario:
</t>
        </r>
        <r>
          <rPr>
            <sz val="8"/>
            <color indexed="81"/>
            <rFont val="Tahoma"/>
            <family val="2"/>
          </rPr>
          <t>Campo Obligatorio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2" shapeId="0" xr:uid="{4AE0A781-D3AE-4AC8-AB64-F5D8F131195B}">
      <text>
        <r>
          <rPr>
            <b/>
            <sz val="8"/>
            <color indexed="81"/>
            <rFont val="Tahoma"/>
            <family val="2"/>
          </rPr>
          <t xml:space="preserve">Importe a Abonar:
</t>
        </r>
        <r>
          <rPr>
            <sz val="8"/>
            <color indexed="81"/>
            <rFont val="Tahoma"/>
            <family val="2"/>
          </rPr>
          <t xml:space="preserve">Máximo 15 dígitos, </t>
        </r>
        <r>
          <rPr>
            <b/>
            <sz val="8"/>
            <color indexed="81"/>
            <rFont val="Tahoma"/>
            <family val="2"/>
          </rPr>
          <t xml:space="preserve">13 enteros y 2 
decimales, </t>
        </r>
        <r>
          <rPr>
            <sz val="8"/>
            <color indexed="81"/>
            <rFont val="Tahoma"/>
            <family val="2"/>
          </rPr>
          <t>separados por "."</t>
        </r>
      </text>
    </comment>
    <comment ref="H3" authorId="2" shapeId="0" xr:uid="{785E945C-60F6-4F47-A5C9-06C136838F25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J3" authorId="2" shapeId="0" xr:uid="{1FDF6161-B8CD-4467-AC72-178CBBE3A42D}">
      <text>
        <r>
          <rPr>
            <b/>
            <sz val="8"/>
            <color indexed="81"/>
            <rFont val="Tahoma"/>
            <family val="2"/>
          </rPr>
          <t xml:space="preserve">Abono Agrupado:
</t>
        </r>
        <r>
          <rPr>
            <sz val="8"/>
            <color indexed="81"/>
            <rFont val="Tahoma"/>
            <family val="2"/>
          </rPr>
          <t>N : Abono individual
S : Abono agrupado</t>
        </r>
      </text>
    </comment>
    <comment ref="K3" authorId="0" shapeId="0" xr:uid="{214CC5B1-1179-4755-B4C5-3682D9EE452C}">
      <text>
        <r>
          <rPr>
            <b/>
            <sz val="8"/>
            <color indexed="81"/>
            <rFont val="Tahoma"/>
            <family val="2"/>
          </rPr>
          <t xml:space="preserve">Referencia:
</t>
        </r>
        <r>
          <rPr>
            <sz val="8"/>
            <color indexed="81"/>
            <rFont val="Tahoma"/>
            <family val="2"/>
          </rPr>
          <t>Descripción del abono a realizar</t>
        </r>
      </text>
    </comment>
    <comment ref="L3" authorId="0" shapeId="0" xr:uid="{50A11831-0EFB-4946-A37E-794A127DD950}">
      <text>
        <r>
          <rPr>
            <b/>
            <sz val="8"/>
            <color indexed="81"/>
            <rFont val="Tahoma"/>
            <family val="2"/>
          </rPr>
          <t xml:space="preserve">Indicador de aviso:
</t>
        </r>
        <r>
          <rPr>
            <sz val="8"/>
            <color indexed="81"/>
            <rFont val="Tahoma"/>
            <family val="2"/>
          </rPr>
          <t>Medio de envío de aviso de confirmación de aviso:
* E : e-mail
* C : celular, sólo Movistar</t>
        </r>
      </text>
    </comment>
    <comment ref="M3" authorId="0" shapeId="0" xr:uid="{84C6E89C-21ED-4078-A3D0-03B4944F3C3A}">
      <text>
        <r>
          <rPr>
            <b/>
            <sz val="8"/>
            <color indexed="81"/>
            <rFont val="Tahoma"/>
            <family val="2"/>
          </rPr>
          <t xml:space="preserve">Medio de Aviso:
</t>
        </r>
        <r>
          <rPr>
            <sz val="8"/>
            <color indexed="81"/>
            <rFont val="Tahoma"/>
            <family val="2"/>
          </rPr>
          <t>Ingresar la dirección de e-mail o número de celular, según corresponda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Guija</author>
    <author>BBVA</author>
    <author>David Bravo Flores</author>
  </authors>
  <commentList>
    <comment ref="B3" authorId="0" shapeId="0" xr:uid="{7189624E-83DC-4DD7-8D30-956A137F7A52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L : DNI o L.E.
R : RUC
M : Carnet Militar
E : Carnet de Extranjeria
P : Pasaporte</t>
        </r>
      </text>
    </comment>
    <comment ref="D3" authorId="1" shapeId="0" xr:uid="{2E534CFC-F135-4E8A-A30C-59A6BC7B997F}">
      <text>
        <r>
          <rPr>
            <b/>
            <sz val="8"/>
            <color indexed="81"/>
            <rFont val="Tahoma"/>
            <family val="2"/>
          </rPr>
          <t>Tipo de Abono</t>
        </r>
        <r>
          <rPr>
            <sz val="8"/>
            <color indexed="81"/>
            <rFont val="Tahoma"/>
            <family val="2"/>
          </rPr>
          <t xml:space="preserve">
P : Propio banco 
I : Interbancario</t>
        </r>
      </text>
    </comment>
    <comment ref="E3" authorId="0" shapeId="0" xr:uid="{1E083AF0-5094-4E87-872E-F572B782F18A}">
      <text>
        <r>
          <rPr>
            <b/>
            <sz val="8"/>
            <color indexed="81"/>
            <rFont val="Tahoma"/>
            <family val="2"/>
          </rPr>
          <t xml:space="preserve">Núm Cta Abono: De 20 caracteres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Si Tipo Abono = P
</t>
        </r>
        <r>
          <rPr>
            <sz val="8"/>
            <color indexed="81"/>
            <rFont val="Tahoma"/>
            <family val="2"/>
          </rPr>
          <t xml:space="preserve">0011xxxxDCnnnnnnnnnn
Donde.
xxxx = Oficina
DC = Dígitos de control
nnnnnnnnnn = Núm. Cuenta
si no conoce DC, ingresar '00'
</t>
        </r>
        <r>
          <rPr>
            <b/>
            <sz val="8"/>
            <color indexed="81"/>
            <rFont val="Tahoma"/>
            <family val="2"/>
          </rPr>
          <t xml:space="preserve">Si Tipo Abono = I
</t>
        </r>
        <r>
          <rPr>
            <sz val="8"/>
            <color indexed="81"/>
            <rFont val="Tahoma"/>
            <family val="2"/>
          </rPr>
          <t xml:space="preserve">la cuenta debe ser la CCI </t>
        </r>
      </text>
    </comment>
    <comment ref="F3" authorId="2" shapeId="0" xr:uid="{3908D7D6-9326-4D05-8E3D-08EB3AD7A6E1}">
      <text>
        <r>
          <rPr>
            <b/>
            <sz val="8"/>
            <color indexed="81"/>
            <rFont val="Tahoma"/>
            <family val="2"/>
          </rPr>
          <t xml:space="preserve">Nombre de Beneficiario:
</t>
        </r>
        <r>
          <rPr>
            <sz val="8"/>
            <color indexed="81"/>
            <rFont val="Tahoma"/>
            <family val="2"/>
          </rPr>
          <t>Campo Obligatorio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2" shapeId="0" xr:uid="{BBEAFB1B-7340-4D0F-958C-332E97744AAF}">
      <text>
        <r>
          <rPr>
            <b/>
            <sz val="8"/>
            <color indexed="81"/>
            <rFont val="Tahoma"/>
            <family val="2"/>
          </rPr>
          <t xml:space="preserve">Importe a Abonar:
</t>
        </r>
        <r>
          <rPr>
            <sz val="8"/>
            <color indexed="81"/>
            <rFont val="Tahoma"/>
            <family val="2"/>
          </rPr>
          <t xml:space="preserve">Máximo 15 dígitos, </t>
        </r>
        <r>
          <rPr>
            <b/>
            <sz val="8"/>
            <color indexed="81"/>
            <rFont val="Tahoma"/>
            <family val="2"/>
          </rPr>
          <t xml:space="preserve">13 enteros y 2 
decimales, </t>
        </r>
        <r>
          <rPr>
            <sz val="8"/>
            <color indexed="81"/>
            <rFont val="Tahoma"/>
            <family val="2"/>
          </rPr>
          <t>separados por "."</t>
        </r>
      </text>
    </comment>
    <comment ref="H3" authorId="2" shapeId="0" xr:uid="{245AD9F0-3F26-403C-A418-B0071EBFB281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J3" authorId="2" shapeId="0" xr:uid="{59260209-E3F0-4A53-9F11-43284F22987D}">
      <text>
        <r>
          <rPr>
            <b/>
            <sz val="8"/>
            <color indexed="81"/>
            <rFont val="Tahoma"/>
            <family val="2"/>
          </rPr>
          <t xml:space="preserve">Abono Agrupado:
</t>
        </r>
        <r>
          <rPr>
            <sz val="8"/>
            <color indexed="81"/>
            <rFont val="Tahoma"/>
            <family val="2"/>
          </rPr>
          <t>N : Abono individual
S : Abono agrupado</t>
        </r>
      </text>
    </comment>
    <comment ref="K3" authorId="0" shapeId="0" xr:uid="{DBDAD6FC-C203-43FB-9A29-E598E2248A45}">
      <text>
        <r>
          <rPr>
            <b/>
            <sz val="8"/>
            <color indexed="81"/>
            <rFont val="Tahoma"/>
            <family val="2"/>
          </rPr>
          <t xml:space="preserve">Referencia:
</t>
        </r>
        <r>
          <rPr>
            <sz val="8"/>
            <color indexed="81"/>
            <rFont val="Tahoma"/>
            <family val="2"/>
          </rPr>
          <t>Descripción del abono a realizar</t>
        </r>
      </text>
    </comment>
    <comment ref="L3" authorId="0" shapeId="0" xr:uid="{49762102-54F8-4476-A4D9-10D58963D9C2}">
      <text>
        <r>
          <rPr>
            <b/>
            <sz val="8"/>
            <color indexed="81"/>
            <rFont val="Tahoma"/>
            <family val="2"/>
          </rPr>
          <t xml:space="preserve">Indicador de aviso:
</t>
        </r>
        <r>
          <rPr>
            <sz val="8"/>
            <color indexed="81"/>
            <rFont val="Tahoma"/>
            <family val="2"/>
          </rPr>
          <t>Medio de envío de aviso de confirmación de aviso:
* E : e-mail
* C : celular, sólo Movistar</t>
        </r>
      </text>
    </comment>
    <comment ref="M3" authorId="0" shapeId="0" xr:uid="{D87CC399-DCDA-4589-9644-27E265050F5E}">
      <text>
        <r>
          <rPr>
            <b/>
            <sz val="8"/>
            <color indexed="81"/>
            <rFont val="Tahoma"/>
            <family val="2"/>
          </rPr>
          <t xml:space="preserve">Medio de Aviso:
</t>
        </r>
        <r>
          <rPr>
            <sz val="8"/>
            <color indexed="81"/>
            <rFont val="Tahoma"/>
            <family val="2"/>
          </rPr>
          <t>Ingresar la dirección de e-mail o número de celular, según corresponda</t>
        </r>
      </text>
    </comment>
    <comment ref="B25" authorId="0" shapeId="0" xr:uid="{461E2CAE-C65C-4FFB-BD3E-BE2AA0494A01}">
      <text>
        <r>
          <rPr>
            <b/>
            <sz val="8"/>
            <color indexed="81"/>
            <rFont val="Tahoma"/>
            <family val="2"/>
          </rPr>
          <t>Tipo DOI:</t>
        </r>
        <r>
          <rPr>
            <sz val="8"/>
            <color indexed="81"/>
            <rFont val="Tahoma"/>
            <family val="2"/>
          </rPr>
          <t xml:space="preserve">
Los tipos permitidos son:
L : DNI o L.E.
R : RUC
M : Carnet Militar
E : Carnet de Extranjeria
P : Pasaporte</t>
        </r>
      </text>
    </comment>
    <comment ref="D25" authorId="1" shapeId="0" xr:uid="{BF753991-C35A-486C-B8C2-E1109F33776E}">
      <text>
        <r>
          <rPr>
            <b/>
            <sz val="8"/>
            <color indexed="81"/>
            <rFont val="Tahoma"/>
            <family val="2"/>
          </rPr>
          <t>Tipo de Abono</t>
        </r>
        <r>
          <rPr>
            <sz val="8"/>
            <color indexed="81"/>
            <rFont val="Tahoma"/>
            <family val="2"/>
          </rPr>
          <t xml:space="preserve">
P : Propio banco 
I : Interbancario</t>
        </r>
      </text>
    </comment>
    <comment ref="E25" authorId="0" shapeId="0" xr:uid="{ED41864D-5205-4B89-982A-47C90795FE1F}">
      <text>
        <r>
          <rPr>
            <b/>
            <sz val="8"/>
            <color indexed="81"/>
            <rFont val="Tahoma"/>
            <family val="2"/>
          </rPr>
          <t xml:space="preserve">Núm Cta Abono: De 20 caracteres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Si Tipo Abono = P
</t>
        </r>
        <r>
          <rPr>
            <sz val="8"/>
            <color indexed="81"/>
            <rFont val="Tahoma"/>
            <family val="2"/>
          </rPr>
          <t xml:space="preserve">0011xxxxDCnnnnnnnnnn
Donde.
xxxx = Oficina
DC = Dígitos de control
nnnnnnnnnn = Núm. Cuenta
si no conoce DC, ingresar '00'
</t>
        </r>
        <r>
          <rPr>
            <b/>
            <sz val="8"/>
            <color indexed="81"/>
            <rFont val="Tahoma"/>
            <family val="2"/>
          </rPr>
          <t xml:space="preserve">Si Tipo Abono = I
</t>
        </r>
        <r>
          <rPr>
            <sz val="8"/>
            <color indexed="81"/>
            <rFont val="Tahoma"/>
            <family val="2"/>
          </rPr>
          <t xml:space="preserve">la cuenta debe ser la CCI </t>
        </r>
      </text>
    </comment>
    <comment ref="F25" authorId="2" shapeId="0" xr:uid="{336C74BF-8CF3-4A0B-ABBF-67BB5EC76B43}">
      <text>
        <r>
          <rPr>
            <b/>
            <sz val="8"/>
            <color indexed="81"/>
            <rFont val="Tahoma"/>
            <family val="2"/>
          </rPr>
          <t xml:space="preserve">Nombre de Beneficiario:
</t>
        </r>
        <r>
          <rPr>
            <sz val="8"/>
            <color indexed="81"/>
            <rFont val="Tahoma"/>
            <family val="2"/>
          </rPr>
          <t>Campo Obligatorio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2" shapeId="0" xr:uid="{E75A0CB3-3D36-4EE8-8D86-60A9F0596FF9}">
      <text>
        <r>
          <rPr>
            <b/>
            <sz val="8"/>
            <color indexed="81"/>
            <rFont val="Tahoma"/>
            <family val="2"/>
          </rPr>
          <t xml:space="preserve">Importe a Abonar:
</t>
        </r>
        <r>
          <rPr>
            <sz val="8"/>
            <color indexed="81"/>
            <rFont val="Tahoma"/>
            <family val="2"/>
          </rPr>
          <t xml:space="preserve">Máximo 15 dígitos, </t>
        </r>
        <r>
          <rPr>
            <b/>
            <sz val="8"/>
            <color indexed="81"/>
            <rFont val="Tahoma"/>
            <family val="2"/>
          </rPr>
          <t xml:space="preserve">13 enteros y 2 
decimales, </t>
        </r>
        <r>
          <rPr>
            <sz val="8"/>
            <color indexed="81"/>
            <rFont val="Tahoma"/>
            <family val="2"/>
          </rPr>
          <t>separados por "."</t>
        </r>
      </text>
    </comment>
    <comment ref="H25" authorId="2" shapeId="0" xr:uid="{BC55A16F-4908-4B35-91F7-B353CE981BFE}">
      <text>
        <r>
          <rPr>
            <b/>
            <sz val="8"/>
            <color indexed="81"/>
            <rFont val="Tahoma"/>
            <family val="2"/>
          </rPr>
          <t xml:space="preserve">Tipo de Recibo:
</t>
        </r>
        <r>
          <rPr>
            <sz val="8"/>
            <color indexed="81"/>
            <rFont val="Tahoma"/>
            <family val="2"/>
          </rPr>
          <t>F : Factura
B : Boleta
N : Nota de Crédito</t>
        </r>
      </text>
    </comment>
    <comment ref="J25" authorId="2" shapeId="0" xr:uid="{3903165E-0F8F-4008-B19B-A1E26CA9FD72}">
      <text>
        <r>
          <rPr>
            <b/>
            <sz val="8"/>
            <color indexed="81"/>
            <rFont val="Tahoma"/>
            <family val="2"/>
          </rPr>
          <t xml:space="preserve">Abono Agrupado:
</t>
        </r>
        <r>
          <rPr>
            <sz val="8"/>
            <color indexed="81"/>
            <rFont val="Tahoma"/>
            <family val="2"/>
          </rPr>
          <t>N : Abono individual
S : Abono agrupado</t>
        </r>
      </text>
    </comment>
    <comment ref="K25" authorId="0" shapeId="0" xr:uid="{2CB7A1E3-497C-46DC-ACE7-36329B8C713F}">
      <text>
        <r>
          <rPr>
            <b/>
            <sz val="8"/>
            <color indexed="81"/>
            <rFont val="Tahoma"/>
            <family val="2"/>
          </rPr>
          <t xml:space="preserve">Referencia:
</t>
        </r>
        <r>
          <rPr>
            <sz val="8"/>
            <color indexed="81"/>
            <rFont val="Tahoma"/>
            <family val="2"/>
          </rPr>
          <t>Descripción del abono a realizar</t>
        </r>
      </text>
    </comment>
    <comment ref="L25" authorId="0" shapeId="0" xr:uid="{7247CAB9-26CD-4703-B546-5D32B156BAC6}">
      <text>
        <r>
          <rPr>
            <b/>
            <sz val="8"/>
            <color indexed="81"/>
            <rFont val="Tahoma"/>
            <family val="2"/>
          </rPr>
          <t xml:space="preserve">Indicador de aviso:
</t>
        </r>
        <r>
          <rPr>
            <sz val="8"/>
            <color indexed="81"/>
            <rFont val="Tahoma"/>
            <family val="2"/>
          </rPr>
          <t>Medio de envío de aviso de confirmación de aviso:
* E : e-mail
* C : celular, sólo Movistar</t>
        </r>
      </text>
    </comment>
    <comment ref="M25" authorId="0" shapeId="0" xr:uid="{C3D16C9C-D23A-4B20-9B52-0EC17CEC09F7}">
      <text>
        <r>
          <rPr>
            <b/>
            <sz val="8"/>
            <color indexed="81"/>
            <rFont val="Tahoma"/>
            <family val="2"/>
          </rPr>
          <t xml:space="preserve">Medio de Aviso:
</t>
        </r>
        <r>
          <rPr>
            <sz val="8"/>
            <color indexed="81"/>
            <rFont val="Tahoma"/>
            <family val="2"/>
          </rPr>
          <t>Ingresar la dirección de e-mail o número de celular, según corresponda</t>
        </r>
      </text>
    </comment>
  </commentList>
</comments>
</file>

<file path=xl/sharedStrings.xml><?xml version="1.0" encoding="utf-8"?>
<sst xmlns="http://schemas.openxmlformats.org/spreadsheetml/2006/main" count="3924" uniqueCount="1293">
  <si>
    <t>PLANILLA DE PROVEEDORES / REEMBOLSOS - 2026</t>
  </si>
  <si>
    <t>ID</t>
  </si>
  <si>
    <t>FECHA DE RECEPCIÓN</t>
  </si>
  <si>
    <t>FECHA DOCUMENTO</t>
  </si>
  <si>
    <t>TIPO DOCUMENTO</t>
  </si>
  <si>
    <t>NRO. DOCUMENTO</t>
  </si>
  <si>
    <t>TIPO DOI</t>
  </si>
  <si>
    <t>NRO. DOI</t>
  </si>
  <si>
    <t>PROVEEDOR</t>
  </si>
  <si>
    <t>MONEDA</t>
  </si>
  <si>
    <t>MONTO BRUTO</t>
  </si>
  <si>
    <t>DESCRIPCIÓN</t>
  </si>
  <si>
    <t>TIPO DE ABONO</t>
  </si>
  <si>
    <t>NRO. CUENTA</t>
  </si>
  <si>
    <t>FECHA DE PAGO</t>
  </si>
  <si>
    <t>MONTO PAGADO</t>
  </si>
  <si>
    <t>LINK DE DOCUMENTO</t>
  </si>
  <si>
    <t>CENTRO DE COSTOS</t>
  </si>
  <si>
    <t>FACTURA</t>
  </si>
  <si>
    <t>E001-308</t>
  </si>
  <si>
    <t>RUC</t>
  </si>
  <si>
    <t>20602501711</t>
  </si>
  <si>
    <t>SOLES</t>
  </si>
  <si>
    <t>MESA PARA OFICINA DE SAN BORJA - GERENCIA</t>
  </si>
  <si>
    <t>PAGADO</t>
  </si>
  <si>
    <t>E001-16</t>
  </si>
  <si>
    <t>20610253807</t>
  </si>
  <si>
    <t>DOLARES</t>
  </si>
  <si>
    <t>ALQUILER E IMPRESIÓN PARA NUEVO PANEL PUBLICITARIO - MAYO</t>
  </si>
  <si>
    <t>F001-80095</t>
  </si>
  <si>
    <t>20139491077</t>
  </si>
  <si>
    <t>SERVICIO YAPAGO CLOUD - JUNIO</t>
  </si>
  <si>
    <t>E001-2273</t>
  </si>
  <si>
    <t>20451716124</t>
  </si>
  <si>
    <t>RENOVACIÓN HOSTING DE DOMINIO</t>
  </si>
  <si>
    <t>E001-509</t>
  </si>
  <si>
    <t>10400912829</t>
  </si>
  <si>
    <t>CPSERVICIO DE SUMINISTRO FABRICACION Y PINTADO AL HORNO DE MESAS CANADIENSES.</t>
  </si>
  <si>
    <t>E001-766</t>
  </si>
  <si>
    <t>20571136181</t>
  </si>
  <si>
    <t>ESPACIO PUBLICITARIO EN VALLA DE TERMINAL TERRESTRE DE HUACHO</t>
  </si>
  <si>
    <t>REEMBOLSO</t>
  </si>
  <si>
    <t>PRUEBA</t>
  </si>
  <si>
    <t>20550807123</t>
  </si>
  <si>
    <t>POR TRANSFERENCIA A LA CUENTA DE INTERBANK DE LA UMA.</t>
  </si>
  <si>
    <t>DEVOLUCIÓN</t>
  </si>
  <si>
    <t>DNI O L.E.</t>
  </si>
  <si>
    <t>74082631</t>
  </si>
  <si>
    <t>DEVOLUCIÓN POR FALTA DE MATRÍCULA</t>
  </si>
  <si>
    <t>E001-697</t>
  </si>
  <si>
    <t>10199380724</t>
  </si>
  <si>
    <t>ADELANTO POR MEDALLAS - GYT</t>
  </si>
  <si>
    <t>E001-135</t>
  </si>
  <si>
    <t>20513523352</t>
  </si>
  <si>
    <t>ALQUILER LOCAL EUCALIPTOS - CANTO BELLO</t>
  </si>
  <si>
    <t>E001-135.PDF</t>
  </si>
  <si>
    <t>E001-154</t>
  </si>
  <si>
    <t>10441671518</t>
  </si>
  <si>
    <t xml:space="preserve">IMPRESIONES Y COPIAS VARIOS </t>
  </si>
  <si>
    <t>PDF-DOC-E001-15410441671518.PDF</t>
  </si>
  <si>
    <t>E001-155</t>
  </si>
  <si>
    <t>PDF-DOC-E001-15510441671518.PDF</t>
  </si>
  <si>
    <t>E001-156</t>
  </si>
  <si>
    <t>PDF-DOC-E001-15610441671518.PDF</t>
  </si>
  <si>
    <t xml:space="preserve">E001-900 </t>
  </si>
  <si>
    <t>20600814843</t>
  </si>
  <si>
    <t>COMPRA DE 04 ROLL SCREENS</t>
  </si>
  <si>
    <t>PDF-DOC-E001-90020600814843.PDF</t>
  </si>
  <si>
    <t>GASTO SIN SUSTENTO (DJ)</t>
  </si>
  <si>
    <t>001-2026</t>
  </si>
  <si>
    <t>42897396</t>
  </si>
  <si>
    <t>GASTO SIN SUSTENTO UMA - FERIA UMA - CAMPOY S.J.L - RESPONSABILIDAD SOCIAL</t>
  </si>
  <si>
    <t>LUIS LUYO_GASTOS SIN SUST..DOCX</t>
  </si>
  <si>
    <t xml:space="preserve">E001-2221 </t>
  </si>
  <si>
    <t>20600649842</t>
  </si>
  <si>
    <t>MANTENIMIENTO PLATAFORMA CHATTIGO - JUNIO 2026</t>
  </si>
  <si>
    <t>2026-06 - FE001-2221 - UMA UNIVERSIDAD MARIA AUXILIADORA - PLATAFORMA CHATTIGO - PERIODO JUNIO 2026.PDF</t>
  </si>
  <si>
    <t>E001-444</t>
  </si>
  <si>
    <t>20330247038</t>
  </si>
  <si>
    <t>VOLANTES PARA SEGUNDAS ESPECIALIDAD EN ENFERMERÍA</t>
  </si>
  <si>
    <t>PDF-DOC-E001-44420330247038.PDF</t>
  </si>
  <si>
    <t>FF01-2853</t>
  </si>
  <si>
    <t>20523401956</t>
  </si>
  <si>
    <t xml:space="preserve"> MATERIALES PARA EL MANTENIMIENTO DEL MES DE JUNIO.</t>
  </si>
  <si>
    <t>FF01-2853.PDF</t>
  </si>
  <si>
    <t xml:space="preserve">COTIZACIÓN </t>
  </si>
  <si>
    <t>2078-2026</t>
  </si>
  <si>
    <t>20552555806</t>
  </si>
  <si>
    <t>ADELANTO MANTENIMIENTO DE LÍNEAS DE GAS</t>
  </si>
  <si>
    <t>PEDIDO 2078-2026-MMTT GLP_SJL.PDF</t>
  </si>
  <si>
    <t>IND-026681</t>
  </si>
  <si>
    <t>20603046570</t>
  </si>
  <si>
    <t>EQUIPAMIENTO EN LOS LABORATORIOS - FYB</t>
  </si>
  <si>
    <t>IND-026681.PDF</t>
  </si>
  <si>
    <t>IND-026647</t>
  </si>
  <si>
    <t>IND-026647.PDF</t>
  </si>
  <si>
    <t>ADELANTO</t>
  </si>
  <si>
    <t>DNI o L.E.</t>
  </si>
  <si>
    <t>42793231</t>
  </si>
  <si>
    <t xml:space="preserve"> ADQUISICIÓN  DE ESTOLAS - GYT</t>
  </si>
  <si>
    <t>10074819929</t>
  </si>
  <si>
    <t>COMPRA DE TAPAJUNTAS Y REPISAS PARA LOS LABORATORIOS</t>
  </si>
  <si>
    <t>10074819929-MORA CHERO RICARDO.PDF</t>
  </si>
  <si>
    <t>BOLETA</t>
  </si>
  <si>
    <t>S001-551502</t>
  </si>
  <si>
    <t>20552504641</t>
  </si>
  <si>
    <t>01-05-2026 - 31-05-2026  ALQUILER DE EQUIPOS - RENTA MENSUAL</t>
  </si>
  <si>
    <t>20550807123_S001_00551502.PDF</t>
  </si>
  <si>
    <t>F001-01153401</t>
  </si>
  <si>
    <t>20265681299</t>
  </si>
  <si>
    <t>SERVICIOS DE COBRANZA BLANCA MAY. 26</t>
  </si>
  <si>
    <t>20265681299-EQUIFAX PERU SAC.PDF</t>
  </si>
  <si>
    <t>E001-19</t>
  </si>
  <si>
    <t>ALQUILER E IMPRESIÓN PARA NUEVO PANEL PUBLICITARIO</t>
  </si>
  <si>
    <t>PDF-DOC-E001-1920610253807 (1).PDF</t>
  </si>
  <si>
    <t>F003-001676</t>
  </si>
  <si>
    <t>20600178971</t>
  </si>
  <si>
    <t>ALQUILER DE SISTEMA ACADÉMICO Y ADMINISTRATIVO JUN. 26</t>
  </si>
  <si>
    <t>20600178971-01-F003-1676.PDF</t>
  </si>
  <si>
    <t>20611664606</t>
  </si>
  <si>
    <t>ESCRITORIO L - ESTUDIOS GENERALES</t>
  </si>
  <si>
    <t>20611664606-PROYECTOS Y SOLUCIONES MIGUELITO S.A.C..PDF</t>
  </si>
  <si>
    <t>44963620</t>
  </si>
  <si>
    <t>SUPERVISIONES Y GESTIONES EXTRAMURALES EN RELACIÓN A CAMPOS CLÍNICOS - ENF</t>
  </si>
  <si>
    <t>44963620-FORMATO GSS MAYO - JUNIO.PDF</t>
  </si>
  <si>
    <t>10321259613</t>
  </si>
  <si>
    <t>INSUMOS DE LABORATORIOS - FYB</t>
  </si>
  <si>
    <t>COTIZACION FRAGMAC.PDF</t>
  </si>
  <si>
    <t>F002-0001536</t>
  </si>
  <si>
    <t>20557553615</t>
  </si>
  <si>
    <t>SERVICIO DE LIMPIEZA - JUN. 26</t>
  </si>
  <si>
    <t>F002-0001536.PDF</t>
  </si>
  <si>
    <t>F001-00013650</t>
  </si>
  <si>
    <t>20601694680</t>
  </si>
  <si>
    <t>INTERNET BUSINESS DE 50MBPS. PERIODO MES DE JUN. 2026 - AV AREQUIPA</t>
  </si>
  <si>
    <t>F001-00013650.PDF</t>
  </si>
  <si>
    <t>S001-550385</t>
  </si>
  <si>
    <t>01-06-2026 - 30-06-2026 RENTA MENSUAL</t>
  </si>
  <si>
    <t>20550807123_S001_00550385.PDF</t>
  </si>
  <si>
    <t>F001-00746250</t>
  </si>
  <si>
    <t>20335020872</t>
  </si>
  <si>
    <t>CONTRATO N 3 DE ARRENDAMIENTO - CUOTA 23-24</t>
  </si>
  <si>
    <t>20335020872_01_F001-746250_157316455.PDF</t>
  </si>
  <si>
    <t xml:space="preserve">E001-583 </t>
  </si>
  <si>
    <t>20600866941</t>
  </si>
  <si>
    <t>ALQUILER DE ESPACIO PUBLICITARIO - JUN. 26</t>
  </si>
  <si>
    <t>E001-583.PDF</t>
  </si>
  <si>
    <t xml:space="preserve">E001-9039 </t>
  </si>
  <si>
    <t>20605319247</t>
  </si>
  <si>
    <t>SERVICIO DE CONSUMO DE TRAFICO TELEFONICO PERIODO JUN. 2026</t>
  </si>
  <si>
    <t>PDF-DOC-E001-903920605319247.PDF</t>
  </si>
  <si>
    <t xml:space="preserve">E001-20 </t>
  </si>
  <si>
    <t>20613574957</t>
  </si>
  <si>
    <t>SERVICIO DE GESTION DE COBRANZA MAY. 26</t>
  </si>
  <si>
    <t>PDF-DOC-E001-2020613574957.PDF</t>
  </si>
  <si>
    <t>ALQUILER 1</t>
  </si>
  <si>
    <t>06294409</t>
  </si>
  <si>
    <t>ALQ LOCAL AV AREQUIPA - JUL. 26</t>
  </si>
  <si>
    <t>ALQUILER 2</t>
  </si>
  <si>
    <t>ALQUILER AV CANTO BELLO 7A - JUL. 26</t>
  </si>
  <si>
    <t>ALQUILER 3</t>
  </si>
  <si>
    <t>06677714</t>
  </si>
  <si>
    <t>ALQUILER LOS OLMOS OMORAN - JUL. 26</t>
  </si>
  <si>
    <t>ALQUILER 4</t>
  </si>
  <si>
    <t>ALQUILER LOS OLMOS GMORAN - JUL. 26</t>
  </si>
  <si>
    <t>ALQUILER 5</t>
  </si>
  <si>
    <t>ALQUILER AV CANTO BELLO 7B - JUL. 26</t>
  </si>
  <si>
    <t>ALQUILER 6</t>
  </si>
  <si>
    <t>ALQUILER BARRANCA GMORAN - JUL. 26</t>
  </si>
  <si>
    <t>ALQUILER 7</t>
  </si>
  <si>
    <t>ALQUILER BARRANCA OMORAN - JUL. 26</t>
  </si>
  <si>
    <t>ALQUILER 8</t>
  </si>
  <si>
    <t>ALQUILER DE CAMIONETA - JUL. 26</t>
  </si>
  <si>
    <t>F030-1845269</t>
  </si>
  <si>
    <t>20501426041</t>
  </si>
  <si>
    <t>ENTREGA A RENDIR</t>
  </si>
  <si>
    <t>A rendir</t>
  </si>
  <si>
    <t>10525370</t>
  </si>
  <si>
    <t>E001-242</t>
  </si>
  <si>
    <t>10074982650</t>
  </si>
  <si>
    <t>73805452</t>
  </si>
  <si>
    <t>B397-17154</t>
  </si>
  <si>
    <t>40498127</t>
  </si>
  <si>
    <t>COTIZACION AyE-26-065</t>
  </si>
  <si>
    <t>20536602233</t>
  </si>
  <si>
    <t>COTIZACION AyE-26-064</t>
  </si>
  <si>
    <t>COTIZACION AyE-26-063</t>
  </si>
  <si>
    <t xml:space="preserve"> F002-0001597</t>
  </si>
  <si>
    <t>SERVICIO DE LIMPIEZA - JUN. 26 - DOMINGOS</t>
  </si>
  <si>
    <t>Completa Pago</t>
  </si>
  <si>
    <t>COMPLETA PAGO - ADQUISICIÓN DE MEDALLAS</t>
  </si>
  <si>
    <t>Devolución</t>
  </si>
  <si>
    <t>Carnet de Extranjeria</t>
  </si>
  <si>
    <t>003073307</t>
  </si>
  <si>
    <t>Cotización</t>
  </si>
  <si>
    <t>47237985</t>
  </si>
  <si>
    <t>Movilidades</t>
  </si>
  <si>
    <t>80384220</t>
  </si>
  <si>
    <t>E001-48</t>
  </si>
  <si>
    <t>20612392171</t>
  </si>
  <si>
    <t>MANTENIMIENTO PREVENTIVO ASCENSOR - JUNIO 2026</t>
  </si>
  <si>
    <t>F002-77</t>
  </si>
  <si>
    <t>20613937286</t>
  </si>
  <si>
    <t>ALQUILER DE TORRE UNIPOLAR  AV. 9 DE OCTUBRE CDRA. 9 - SJL</t>
  </si>
  <si>
    <t>E001-9338</t>
  </si>
  <si>
    <t>RENTA MENSUAL DE PBX ISSABEL 01.07-31.07</t>
  </si>
  <si>
    <t>PRESUPUESTO N 001068 - 2026</t>
  </si>
  <si>
    <t>20523915127</t>
  </si>
  <si>
    <t>PIZARRA - AULA 101</t>
  </si>
  <si>
    <t>COT N 00060026131</t>
  </si>
  <si>
    <t>20608014773</t>
  </si>
  <si>
    <t>COT N 00194531</t>
  </si>
  <si>
    <t>20270485015</t>
  </si>
  <si>
    <t xml:space="preserve"> F001- 1156897_x000D_</t>
  </si>
  <si>
    <t>SERVICIOS DE COBRANZA BLANCA JUN. 26</t>
  </si>
  <si>
    <t>Cotización S01438</t>
  </si>
  <si>
    <t>20602571077</t>
  </si>
  <si>
    <t>APROBADO</t>
  </si>
  <si>
    <t>PRESUPUESTO</t>
  </si>
  <si>
    <t>44647124</t>
  </si>
  <si>
    <t>F001-80864</t>
  </si>
  <si>
    <t>E001-921</t>
  </si>
  <si>
    <t>20609308347</t>
  </si>
  <si>
    <t>Presupuesto</t>
  </si>
  <si>
    <t>10457128504</t>
  </si>
  <si>
    <t>09353249</t>
  </si>
  <si>
    <t>Propuesta N0230 -2026V2</t>
  </si>
  <si>
    <t>20555906138</t>
  </si>
  <si>
    <t>FE02-00000142</t>
  </si>
  <si>
    <t>20601136954</t>
  </si>
  <si>
    <t>COTHOTDRA</t>
  </si>
  <si>
    <t>20297885538 </t>
  </si>
  <si>
    <t>EEMB DIL</t>
  </si>
  <si>
    <t>COTIZACION N 023-2026</t>
  </si>
  <si>
    <t>20601713030</t>
  </si>
  <si>
    <t xml:space="preserve">E001-904 </t>
  </si>
  <si>
    <t>ROLL SCREM TESORERIA</t>
  </si>
  <si>
    <t>FFF1-011087</t>
  </si>
  <si>
    <t>20556502928</t>
  </si>
  <si>
    <t>SERVICIO DE SEGURIDAD - JUN. 26</t>
  </si>
  <si>
    <t>Cod</t>
  </si>
  <si>
    <t>DOI Tipo</t>
  </si>
  <si>
    <t>DOI Número</t>
  </si>
  <si>
    <t>Tipo Abono</t>
  </si>
  <si>
    <t>N° Cuentas a Abonar</t>
  </si>
  <si>
    <t>Nombre de Beneficiario</t>
  </si>
  <si>
    <t>Importe Abonar</t>
  </si>
  <si>
    <t>Tipo Recibo</t>
  </si>
  <si>
    <t>N° Documento</t>
  </si>
  <si>
    <t>Abono agrupado</t>
  </si>
  <si>
    <t>Referencia</t>
  </si>
  <si>
    <t>Indicador Aviso</t>
  </si>
  <si>
    <t>Medio de aviso</t>
  </si>
  <si>
    <t>Persona Contacto</t>
  </si>
  <si>
    <t>R</t>
  </si>
  <si>
    <t>P</t>
  </si>
  <si>
    <t>00110360000100019823</t>
  </si>
  <si>
    <t>LATINUM GROUP S.A.C</t>
  </si>
  <si>
    <t>F</t>
  </si>
  <si>
    <t>N</t>
  </si>
  <si>
    <t>E</t>
  </si>
  <si>
    <t>Nayrut Flores</t>
  </si>
  <si>
    <t>I</t>
  </si>
  <si>
    <t>00988520885018826258</t>
  </si>
  <si>
    <t>BRAVO ESPINOZA NANCY GLADYS</t>
  </si>
  <si>
    <t>00320000300443668531</t>
  </si>
  <si>
    <t>IMPRESIONES FUENTES S.A.C.</t>
  </si>
  <si>
    <t>L</t>
  </si>
  <si>
    <t>00110057000238379904</t>
  </si>
  <si>
    <t>LUYO PACHAS LUIS RONALD</t>
  </si>
  <si>
    <t>B</t>
  </si>
  <si>
    <t>00110353000100043777</t>
  </si>
  <si>
    <t>TALLERES GRAFICOS GIMAVIC SRLTDA</t>
  </si>
  <si>
    <t>00110322000100023998</t>
  </si>
  <si>
    <t>CORPORACION LOAYZA S.A.C.</t>
  </si>
  <si>
    <t>00110102000100066704</t>
  </si>
  <si>
    <t>BAFER ENERGY ECONOMIC SAC</t>
  </si>
  <si>
    <t>00110316000200761322</t>
  </si>
  <si>
    <t>QUIMICA MULTIPLE INDUSTRIAL E.I.R.L.</t>
  </si>
  <si>
    <t>10425306257</t>
  </si>
  <si>
    <t>00219110060898803757</t>
  </si>
  <si>
    <t>MILLER ALEXANDER GUERRERO LLACTA</t>
  </si>
  <si>
    <t>00110436000200000324</t>
  </si>
  <si>
    <t>UNIVERSIDAD MARIA AUXILIADORA S.A.C.</t>
  </si>
  <si>
    <t>00219117760935908955</t>
  </si>
  <si>
    <t>MORA CHERO RICARDO</t>
  </si>
  <si>
    <t>00219400212888508794</t>
  </si>
  <si>
    <t>WIN EMPRESAS SAC</t>
  </si>
  <si>
    <t>00219400211742109092</t>
  </si>
  <si>
    <t>EQUIFAX PERU SAC</t>
  </si>
  <si>
    <t>00110360000100040229</t>
  </si>
  <si>
    <t>MORAN PAREDES GLADYS IVONNE</t>
  </si>
  <si>
    <t>KR SECURITY</t>
  </si>
  <si>
    <t>00110261000200336577</t>
  </si>
  <si>
    <t>JAGUAR SOFT S.A.C.</t>
  </si>
  <si>
    <t>00320000300673249434</t>
  </si>
  <si>
    <t>PROYECTOS Y SOLUCIONES MIGUELITO S.A.C.</t>
  </si>
  <si>
    <t>00110579000231859577</t>
  </si>
  <si>
    <t>CARHUACHIN TOLENTINO HECTOR ERWIN</t>
  </si>
  <si>
    <t>00219112125924608454</t>
  </si>
  <si>
    <t>GARCIA MALLQUI FRANCISCO AMANCIO</t>
  </si>
  <si>
    <t>00110370000200340143</t>
  </si>
  <si>
    <t>NG SERVICIOS S.A.C.</t>
  </si>
  <si>
    <t>00110354000100039600</t>
  </si>
  <si>
    <t>TOTAL NETWORKS S.A</t>
  </si>
  <si>
    <t>00219100721335608054</t>
  </si>
  <si>
    <t>VM PUBLICIDAD &amp; INVERSION E.I.R.L.</t>
  </si>
  <si>
    <t>00219300262620401219</t>
  </si>
  <si>
    <t>NETVOICE SA.C.</t>
  </si>
  <si>
    <t>00219400712804707394</t>
  </si>
  <si>
    <t>OPTIMIZACX CONSULTORIA Y SERVICIOS S.A.C.</t>
  </si>
  <si>
    <t/>
  </si>
  <si>
    <t>00110791000200180226</t>
  </si>
  <si>
    <t>IMMERSE S.A.C.</t>
  </si>
  <si>
    <t>00219300713694516113</t>
  </si>
  <si>
    <t>CLYDE PUBLICIDAD S.A.C.</t>
  </si>
  <si>
    <t>00219300119689111611</t>
  </si>
  <si>
    <t>HEWLETT - PACKARD PERU S.R.L.</t>
  </si>
  <si>
    <t>00110872000200007559</t>
  </si>
  <si>
    <t>00110360000200224009</t>
  </si>
  <si>
    <t>MORAN MARQUEZ GREGORIO OSWALDO</t>
  </si>
  <si>
    <t>Tabla 1</t>
  </si>
  <si>
    <t>RUC / DNI</t>
  </si>
  <si>
    <t>RAZON SOCIAL</t>
  </si>
  <si>
    <t>BANCO</t>
  </si>
  <si>
    <t>CUENTA</t>
  </si>
  <si>
    <t>DOI_Tipo</t>
  </si>
  <si>
    <t>CONTINENTAL</t>
  </si>
  <si>
    <t>CC</t>
  </si>
  <si>
    <t>NOMBRE</t>
  </si>
  <si>
    <t>Etiquetas de fila</t>
  </si>
  <si>
    <t>Suma de ID</t>
  </si>
  <si>
    <t>Junta General de Accionistas</t>
  </si>
  <si>
    <t>Gerencia General</t>
  </si>
  <si>
    <t>Carnet Militar</t>
  </si>
  <si>
    <t>M</t>
  </si>
  <si>
    <t>Rectorado</t>
  </si>
  <si>
    <t>20511148503</t>
  </si>
  <si>
    <t>SOLUCIONES EN MARKETING EIRL</t>
  </si>
  <si>
    <t>OTRO BANCO</t>
  </si>
  <si>
    <t>00219300251912207610</t>
  </si>
  <si>
    <t>Asesoría Legal</t>
  </si>
  <si>
    <t>Pasaporte</t>
  </si>
  <si>
    <t>00110122000100039129</t>
  </si>
  <si>
    <t>Secretaría General</t>
  </si>
  <si>
    <t>Vicerrectorado Académico CCSS</t>
  </si>
  <si>
    <t>Gerencia de Operaciones</t>
  </si>
  <si>
    <t>20601732646</t>
  </si>
  <si>
    <t>GUILLERMO FABIAN PERU S.A.C.</t>
  </si>
  <si>
    <t>00110119000200463088</t>
  </si>
  <si>
    <t>Gerencia de Administracion Financiera</t>
  </si>
  <si>
    <t>Tipo_Abono</t>
  </si>
  <si>
    <t>Gerencia Comercial</t>
  </si>
  <si>
    <t>Vicerrectorado Académico IINN</t>
  </si>
  <si>
    <t>Oficina de Administración Financiera</t>
  </si>
  <si>
    <t>20506717044</t>
  </si>
  <si>
    <t>MEMORY KINGS PERU S.A.C.</t>
  </si>
  <si>
    <t>00110175000100018074</t>
  </si>
  <si>
    <t>Oficina de Recursos Humanos</t>
  </si>
  <si>
    <t>20602962050</t>
  </si>
  <si>
    <t>VALSERTECH E.I.R.L</t>
  </si>
  <si>
    <t>00219200244497006537</t>
  </si>
  <si>
    <t>Oficina de Marketing E Imagen Institucional</t>
  </si>
  <si>
    <t>Tipo_Recibo</t>
  </si>
  <si>
    <t>IMPORTADORA ANDINA E.I.R.L</t>
  </si>
  <si>
    <t>00219100175876005155</t>
  </si>
  <si>
    <t>Oficina de Admisión</t>
  </si>
  <si>
    <t>GREEN INSUQUIMICA SAC</t>
  </si>
  <si>
    <t>00219100940024809859</t>
  </si>
  <si>
    <t>Oficina de Bienestar Universitario</t>
  </si>
  <si>
    <t>20122667660</t>
  </si>
  <si>
    <t>INSTITUTO CULTURAL PERUANO NORTEAMERICANO</t>
  </si>
  <si>
    <t>00110378000100023411</t>
  </si>
  <si>
    <t>Oficina de Producción de Bienes Y Servicios</t>
  </si>
  <si>
    <t>C</t>
  </si>
  <si>
    <t>20515719165</t>
  </si>
  <si>
    <t>KOBRANZAS SAC</t>
  </si>
  <si>
    <t>00110186470100073563</t>
  </si>
  <si>
    <t>Oficina de Tecnología de La Información</t>
  </si>
  <si>
    <t>Oficina de Seguimiento Al Egresado. Titulado Y Bolsa de Trabajo</t>
  </si>
  <si>
    <t>G</t>
  </si>
  <si>
    <t>00110615000200068290</t>
  </si>
  <si>
    <t>Decanatura Facultad de Ciencias de La Salud</t>
  </si>
  <si>
    <t>NOTA DE CREDITO</t>
  </si>
  <si>
    <t>06718077</t>
  </si>
  <si>
    <t>PAREDES RIVERO DE MORAN LEDDY MIRIAM</t>
  </si>
  <si>
    <t>00110607000200000498</t>
  </si>
  <si>
    <t>Decanatura Facultad de Negocios E Ingenierías</t>
  </si>
  <si>
    <t>ESCOBAR CHUQUIHUACCHA VERONICA SOFIA</t>
  </si>
  <si>
    <t>00219117528450505358</t>
  </si>
  <si>
    <t>Dirección de Investigación</t>
  </si>
  <si>
    <t>40593513</t>
  </si>
  <si>
    <t>GIL CUEVA MARCELA JAQUELINY</t>
  </si>
  <si>
    <t>00110814000200657867</t>
  </si>
  <si>
    <t>Oficina de Gestión de La Calidad Y Gestión Docente</t>
  </si>
  <si>
    <t>GOMEZ BERROSPI PAUL LEONARDO</t>
  </si>
  <si>
    <t>00110322000200378610</t>
  </si>
  <si>
    <t>Oficina de Servicios Académicos Y Registros</t>
  </si>
  <si>
    <t>10676704</t>
  </si>
  <si>
    <t>CHERO PACHECO VICTOR HUMBERTO</t>
  </si>
  <si>
    <t>00110128000200400840</t>
  </si>
  <si>
    <t>Oficina de Convenios Internacionales</t>
  </si>
  <si>
    <t>41274394</t>
  </si>
  <si>
    <t>JUAREZ ALVINES EVELYN HERLINDA</t>
  </si>
  <si>
    <t>00219117387305904958</t>
  </si>
  <si>
    <t>Direccion de Estudios Generales</t>
  </si>
  <si>
    <t>70829569</t>
  </si>
  <si>
    <t>APONTE ALVA KATYA CONSUELO</t>
  </si>
  <si>
    <t>00110322000200381484</t>
  </si>
  <si>
    <t>Oficina de Educación Virtual</t>
  </si>
  <si>
    <t>70676772</t>
  </si>
  <si>
    <t>ORDOÑEZ LEON PATRICIA</t>
  </si>
  <si>
    <t>00110257000200352686</t>
  </si>
  <si>
    <t>Decanatura Facultad de Farmacia Y Bioquímica</t>
  </si>
  <si>
    <t>48000253</t>
  </si>
  <si>
    <t>GALLARDO PALACIOS GIAN PIERRE</t>
  </si>
  <si>
    <t>00110814000200694347</t>
  </si>
  <si>
    <t>Direccion de Educacion Continua</t>
  </si>
  <si>
    <t>41444851</t>
  </si>
  <si>
    <t>TOVAR BACA JUAN CARLOS</t>
  </si>
  <si>
    <t>00110832000200221242</t>
  </si>
  <si>
    <t>Tesorería</t>
  </si>
  <si>
    <t>40186218</t>
  </si>
  <si>
    <t>GAMBOA MOLINA JUAN CARLOS</t>
  </si>
  <si>
    <t>00110322000200380232</t>
  </si>
  <si>
    <t>Contabilidad</t>
  </si>
  <si>
    <t>ESTADO</t>
  </si>
  <si>
    <t>40542174</t>
  </si>
  <si>
    <t>INGA CERDA PATTY SINDY</t>
  </si>
  <si>
    <t>00219119427017609857</t>
  </si>
  <si>
    <t>Marketing</t>
  </si>
  <si>
    <t>ANULADO / RECHAZADO</t>
  </si>
  <si>
    <t>45276376</t>
  </si>
  <si>
    <t>CORDOVA SERRANO GERSON</t>
  </si>
  <si>
    <t>00110136000200439937</t>
  </si>
  <si>
    <t>Imagen Institucional</t>
  </si>
  <si>
    <t>46655789</t>
  </si>
  <si>
    <t>LAZO CCALLO GIOVANI FERNANDO</t>
  </si>
  <si>
    <t>00110174000200514235</t>
  </si>
  <si>
    <t>Coordinación de Servicio Psicopedagógico, Proy. Y Servicio Social</t>
  </si>
  <si>
    <t>APROBADO POR PAGAR</t>
  </si>
  <si>
    <t>40692237</t>
  </si>
  <si>
    <t>CRISTOBAL PAREDES YULAN CLAUDIA</t>
  </si>
  <si>
    <t>00110814000201168843</t>
  </si>
  <si>
    <t>Coordinación de Servicios de Salud / Tópico</t>
  </si>
  <si>
    <t>OBSERVADO</t>
  </si>
  <si>
    <t>44441990</t>
  </si>
  <si>
    <t>SAAVEDRA RAMIREZ MARIO ANTONIO</t>
  </si>
  <si>
    <t>00110970000200243085</t>
  </si>
  <si>
    <t>Coordinación de Servicios Deportivos Y Culturales</t>
  </si>
  <si>
    <t>47265042</t>
  </si>
  <si>
    <t>FLORES TITO NAYRUT BRIGIDA</t>
  </si>
  <si>
    <t>00110565000200070502</t>
  </si>
  <si>
    <t>Sistemas Y Soporte</t>
  </si>
  <si>
    <t>SAMANIEGO JOAQUIN JHONNEL WILLIAMS</t>
  </si>
  <si>
    <t>00110712000200200803</t>
  </si>
  <si>
    <t>Educación Virtual</t>
  </si>
  <si>
    <t>40868681</t>
  </si>
  <si>
    <t>NICHO FLORES CARLOS DANIEL</t>
  </si>
  <si>
    <t>00904120128027229357</t>
  </si>
  <si>
    <t>Administración Y Logística</t>
  </si>
  <si>
    <t>09394947</t>
  </si>
  <si>
    <t>PEREZ SANCHEZ CHRISTIAN JESUS</t>
  </si>
  <si>
    <t>00389801336652789547</t>
  </si>
  <si>
    <t>Unidad de Investigación</t>
  </si>
  <si>
    <t>42248126</t>
  </si>
  <si>
    <t>MATTA SOLIS EDUARDO PERCY</t>
  </si>
  <si>
    <t>00110322000200463596</t>
  </si>
  <si>
    <t>UMA Barrio</t>
  </si>
  <si>
    <t>07498621</t>
  </si>
  <si>
    <t>HERNANDEZ CORDERO GIOVANNA OFELIA</t>
  </si>
  <si>
    <t>00219313120536506911</t>
  </si>
  <si>
    <t>Gestión de La Calidad</t>
  </si>
  <si>
    <t>75378641</t>
  </si>
  <si>
    <t>REVILLA VERGARAY LINDER</t>
  </si>
  <si>
    <t>00110832000200304253</t>
  </si>
  <si>
    <t>Gestión Docente</t>
  </si>
  <si>
    <t>10729992</t>
  </si>
  <si>
    <t>SANTA CRUZ ZUÑIGA MANUEL ARTEMIO</t>
  </si>
  <si>
    <t>00110132000200426892</t>
  </si>
  <si>
    <t>Unidad Técnica de Biblioteca Central</t>
  </si>
  <si>
    <t>44305912</t>
  </si>
  <si>
    <t>CHIRINOS RUMIN MANUEL WILFREDO</t>
  </si>
  <si>
    <t>00110814000204883128</t>
  </si>
  <si>
    <t>Unidad de Investigación de Facultad de Ciencias de La Salud</t>
  </si>
  <si>
    <t>42443911</t>
  </si>
  <si>
    <t>VENEGAS DIOSES JOHANN CHRISTIAN</t>
  </si>
  <si>
    <t>00110175000200677326</t>
  </si>
  <si>
    <t>Unidad de Investigación de Facultad de Negocios E Ingenierías</t>
  </si>
  <si>
    <t>41835622</t>
  </si>
  <si>
    <t>HUERTA LEON JENNY ROSALYN</t>
  </si>
  <si>
    <t>00110712000200259840</t>
  </si>
  <si>
    <t>Emprendimiento E Innovación</t>
  </si>
  <si>
    <t>MENDOZA CHUCHON MARCO ANTONIO</t>
  </si>
  <si>
    <t>00110113000200637547</t>
  </si>
  <si>
    <t>Grados Y Titulos</t>
  </si>
  <si>
    <t>CARRANZA VALLEJOS EDILBERTO</t>
  </si>
  <si>
    <t>00110128000200675599</t>
  </si>
  <si>
    <t>Responsabilidad Social Universitaria</t>
  </si>
  <si>
    <t>SANTE MELGAR ZULLY GIANINA</t>
  </si>
  <si>
    <t>00110322000200407629</t>
  </si>
  <si>
    <t>Ep de Enfermería</t>
  </si>
  <si>
    <t>44129637</t>
  </si>
  <si>
    <t>CASTRO GUZMAN ENRIQUE ALONSO</t>
  </si>
  <si>
    <t>00219312913295202317</t>
  </si>
  <si>
    <t>Ep de Farmacia Y Bioquímica</t>
  </si>
  <si>
    <t>45560495</t>
  </si>
  <si>
    <t>BOLAÑOS RUEDA JEANCARLO JOEL</t>
  </si>
  <si>
    <t>00917020860835558521</t>
  </si>
  <si>
    <t>Ep de Psicología</t>
  </si>
  <si>
    <t>43835988</t>
  </si>
  <si>
    <t>HUAMAN VILCA MABEL MILAGROS</t>
  </si>
  <si>
    <t>00110128000200543013</t>
  </si>
  <si>
    <t>Ep de Nutrición Y Dietética</t>
  </si>
  <si>
    <t>09334406</t>
  </si>
  <si>
    <t>QUIQUIA RAU FERNANDO PELAYO</t>
  </si>
  <si>
    <t>00110139000200932516</t>
  </si>
  <si>
    <t>Ep Tecnología Médica En Laboratorio Clínico Y Anatomía Patológica</t>
  </si>
  <si>
    <t>Ep Tecnología Médica En Terapia Física Y Rehabilitación</t>
  </si>
  <si>
    <t>42138206</t>
  </si>
  <si>
    <t>HERNANDEZ SANCHEZ KELLY</t>
  </si>
  <si>
    <t>00110814000227938760</t>
  </si>
  <si>
    <t>Tecnologías Medicas</t>
  </si>
  <si>
    <t>TAFUR DURAND ERIKA</t>
  </si>
  <si>
    <t>00110814000206329403</t>
  </si>
  <si>
    <t>Ep de Medicina</t>
  </si>
  <si>
    <t>70071066</t>
  </si>
  <si>
    <t>ROJAS GUERRERO JIUSEPE IVAN</t>
  </si>
  <si>
    <t>00110814000224126420</t>
  </si>
  <si>
    <t>Ep Tecnología Médica En Optometría</t>
  </si>
  <si>
    <t>71732330</t>
  </si>
  <si>
    <t>CARBAJAL BENITES LUZ MIRELLA</t>
  </si>
  <si>
    <t>00110175000200775212</t>
  </si>
  <si>
    <t>Segunda Especialidad CCSS</t>
  </si>
  <si>
    <t>02894992</t>
  </si>
  <si>
    <t>PURIZACA CURO DE QUILLE ROXANA MARISEL</t>
  </si>
  <si>
    <t>01800000400832135901</t>
  </si>
  <si>
    <t>Segunda Especialidad FFBB</t>
  </si>
  <si>
    <t>75490953</t>
  </si>
  <si>
    <t>REYES MACHUCA YOSSELIN ADELAIDA</t>
  </si>
  <si>
    <t>00389801331596785849</t>
  </si>
  <si>
    <t>Ep de Contabilidad Y Finanzas</t>
  </si>
  <si>
    <t>47558888</t>
  </si>
  <si>
    <t>CAMACHO PEREZ ENZO ADHEMIR</t>
  </si>
  <si>
    <t>00110368000200574992</t>
  </si>
  <si>
    <t>Ep de Adm. Y Negocios Internacionales</t>
  </si>
  <si>
    <t>45946742</t>
  </si>
  <si>
    <t>SANCHEZ SIESQUEN JAVIER ALONSO</t>
  </si>
  <si>
    <t>03500100064189429576</t>
  </si>
  <si>
    <t>Ep de Administración Y Marketing</t>
  </si>
  <si>
    <t>76815987</t>
  </si>
  <si>
    <t>LEON PARIONA SANDY VANESSA</t>
  </si>
  <si>
    <t>00219110274684308753</t>
  </si>
  <si>
    <t>Ep de Ingeniería Industrial</t>
  </si>
  <si>
    <t>70988722</t>
  </si>
  <si>
    <t>ESPINOZA CARDENAS CINTHIA</t>
  </si>
  <si>
    <t>00219110323719409159</t>
  </si>
  <si>
    <t>Ep de Ingeniería IA</t>
  </si>
  <si>
    <t>76049794</t>
  </si>
  <si>
    <t>SANTISTEBAN IPANAQUE DIANA DE LOS MILAGROS</t>
  </si>
  <si>
    <t>00110814000219397106</t>
  </si>
  <si>
    <t>Ep de Ingeniería Sistemas</t>
  </si>
  <si>
    <t>41634172</t>
  </si>
  <si>
    <t>JUSCAMAYTA CARPIO JESUS ANTONIO</t>
  </si>
  <si>
    <t>00110322000200325541</t>
  </si>
  <si>
    <t>Ep de Administración de Empresas</t>
  </si>
  <si>
    <t>LANDAURO CARRASCO RAFAEL MARTIN</t>
  </si>
  <si>
    <t>00219311045150107117</t>
  </si>
  <si>
    <t>Ep de Derecho</t>
  </si>
  <si>
    <t>71407641</t>
  </si>
  <si>
    <t>AGUILAR VASQUEZ BRITHANY DAYANA</t>
  </si>
  <si>
    <t>00110814000224534715</t>
  </si>
  <si>
    <t>Escuela de Posgrado</t>
  </si>
  <si>
    <t>41715053</t>
  </si>
  <si>
    <t>TARAZONA TARAZONA ANGEL AMERICO</t>
  </si>
  <si>
    <t>00110579000217005336</t>
  </si>
  <si>
    <t>Centros Preuniversitario</t>
  </si>
  <si>
    <t>74388519</t>
  </si>
  <si>
    <t>ROJAS PARILLO LUIS ENRIQUE</t>
  </si>
  <si>
    <t>00219119862552003553</t>
  </si>
  <si>
    <t>Centro de Idiomas</t>
  </si>
  <si>
    <t>43664250</t>
  </si>
  <si>
    <t>FLORES RIVERA ITO JULIO ANTONIO</t>
  </si>
  <si>
    <t>00110579000216317318</t>
  </si>
  <si>
    <t>Centros de Extensión Universitaria</t>
  </si>
  <si>
    <t>SAMANIEGO PUENTE LUDMILIA REDINA</t>
  </si>
  <si>
    <t>00110579000218151409</t>
  </si>
  <si>
    <t>Taller de Titulación</t>
  </si>
  <si>
    <t>75581503</t>
  </si>
  <si>
    <t>YNGA VASQUEZ DIANA MARIA</t>
  </si>
  <si>
    <t>00110579000218151697</t>
  </si>
  <si>
    <t>Seg. En Emerg. Y Desa.</t>
  </si>
  <si>
    <t>73009893</t>
  </si>
  <si>
    <t>ALARCO ACUÑA FLAVIO ANDRE</t>
  </si>
  <si>
    <t>00389801337769110744</t>
  </si>
  <si>
    <t>Seg. Cuidados Intensivos</t>
  </si>
  <si>
    <t>48154559</t>
  </si>
  <si>
    <t>MONTALVO PALOMINO GRACIELA</t>
  </si>
  <si>
    <t>00110579000218151476</t>
  </si>
  <si>
    <t>Seg. Salud Familiar Y Comunitaria</t>
  </si>
  <si>
    <t>08874760</t>
  </si>
  <si>
    <t>MOYA NOLLI CARMEN ROSANA</t>
  </si>
  <si>
    <t>00110579000218290891</t>
  </si>
  <si>
    <t>Seg. Cuidado Integ. Infan</t>
  </si>
  <si>
    <t>71740794</t>
  </si>
  <si>
    <t>CABEZAS HUANGAL ANGELLO SEBASTIÁN</t>
  </si>
  <si>
    <t>00905820167052506097</t>
  </si>
  <si>
    <t>Seg. Centro Quirúrgico</t>
  </si>
  <si>
    <t>42144503</t>
  </si>
  <si>
    <t>QUISPE LIZARBE JOAN ALFREDO</t>
  </si>
  <si>
    <t>00334101304907211150</t>
  </si>
  <si>
    <t>Seg. Urología</t>
  </si>
  <si>
    <t>71948234</t>
  </si>
  <si>
    <t>TANIGUCHI LOCK SONNY KENYI</t>
  </si>
  <si>
    <t>00110579000219276663</t>
  </si>
  <si>
    <t>Seg. Asuntos Regulatorios</t>
  </si>
  <si>
    <t>73586839</t>
  </si>
  <si>
    <t>CUBA RIOS SOFIA ALEJANDRA</t>
  </si>
  <si>
    <t>00110579000220405906</t>
  </si>
  <si>
    <t>Seg. Psicología Clínica</t>
  </si>
  <si>
    <t>44323558</t>
  </si>
  <si>
    <t>MAMANI SULLO INGRID MARIBEL</t>
  </si>
  <si>
    <t>00110579000220405558</t>
  </si>
  <si>
    <t>Maestría Salud Publica</t>
  </si>
  <si>
    <t>72972025</t>
  </si>
  <si>
    <t>PALOMINO GUIZADO SHEGLY SHARON</t>
  </si>
  <si>
    <t>00110579000220405809</t>
  </si>
  <si>
    <t>Maestría Administración de Empresas</t>
  </si>
  <si>
    <t>74716130</t>
  </si>
  <si>
    <t>TREJO HERNANDEZ DANNA BETZABE DEL ROSARIO</t>
  </si>
  <si>
    <t>00110253000200314820</t>
  </si>
  <si>
    <t>Diplomado En Asuntos Regulatorios Del Sector Farmacéutico</t>
  </si>
  <si>
    <t>09874299</t>
  </si>
  <si>
    <t>VILLAR BARNUEVO JULIO CESAR</t>
  </si>
  <si>
    <t>00110579000220405221</t>
  </si>
  <si>
    <t>07682432</t>
  </si>
  <si>
    <t>GAMARRA GABANCHO ELIZABETH DÁMERIS</t>
  </si>
  <si>
    <t>00110579000217467836</t>
  </si>
  <si>
    <t>74833507</t>
  </si>
  <si>
    <t>RAMOS AQUIJE JENNYFER XIOMARA</t>
  </si>
  <si>
    <t>00110579000220405973</t>
  </si>
  <si>
    <t>21528676</t>
  </si>
  <si>
    <t>HERRERA RIVAS MIRTHA ROSABELL</t>
  </si>
  <si>
    <t>00110814000221576522</t>
  </si>
  <si>
    <t>45728917</t>
  </si>
  <si>
    <t>VEGA TOMASTO MELISSA JESENYA</t>
  </si>
  <si>
    <t>00110057000226610996</t>
  </si>
  <si>
    <t>41398201</t>
  </si>
  <si>
    <t>DIONICIO ESCALANTE ELISA ROXANA</t>
  </si>
  <si>
    <t>00110057000230156531</t>
  </si>
  <si>
    <t>08711426</t>
  </si>
  <si>
    <t>GONZALES MATOS MARCELO DANTE</t>
  </si>
  <si>
    <t>00110579000220780731</t>
  </si>
  <si>
    <t>ZAMBRANO BRÁÑEZ MARIO ANDRÉS</t>
  </si>
  <si>
    <t>00110579000220780979</t>
  </si>
  <si>
    <t>71298175</t>
  </si>
  <si>
    <t>ARENAS ESTRADA MAYRA ALEXANDRA</t>
  </si>
  <si>
    <t>00110579000220781177</t>
  </si>
  <si>
    <t>45225991</t>
  </si>
  <si>
    <t>RUBIO LÓPEZ GHILMAR</t>
  </si>
  <si>
    <t>00110579000221179519</t>
  </si>
  <si>
    <t>02892931</t>
  </si>
  <si>
    <t>ORTIZ MADRID JORGE HEBER</t>
  </si>
  <si>
    <t>00110579000221561464</t>
  </si>
  <si>
    <t>75048628</t>
  </si>
  <si>
    <t>LOZADA RODRÍGUEZ VALERIE VALESKA</t>
  </si>
  <si>
    <t>00110579000221801023</t>
  </si>
  <si>
    <t>09864945</t>
  </si>
  <si>
    <t>REA SCHREIER PAMELLA ZDENKA</t>
  </si>
  <si>
    <t>00219117207380302056</t>
  </si>
  <si>
    <t>MENDOZA MORENO VIVIANA NICOLE</t>
  </si>
  <si>
    <t>00110579000221800981</t>
  </si>
  <si>
    <t>10583345</t>
  </si>
  <si>
    <t>MELGAR ALIAGA FREUD ENRIQUE</t>
  </si>
  <si>
    <t>00110579000229344314</t>
  </si>
  <si>
    <t>73332783</t>
  </si>
  <si>
    <t>RICRA ACUÑA CHRISTIAN ALEJANDRO</t>
  </si>
  <si>
    <t>00110579000229344411</t>
  </si>
  <si>
    <t>44905415</t>
  </si>
  <si>
    <t>NARREA ALVARADO ELIZABETH NATALY</t>
  </si>
  <si>
    <t>00110579080230727758</t>
  </si>
  <si>
    <t>41193739</t>
  </si>
  <si>
    <t>ALAYO PANDO MARITZA ISABEL</t>
  </si>
  <si>
    <t>00110579030230727685</t>
  </si>
  <si>
    <t>75793164</t>
  </si>
  <si>
    <t>CCASA RODAS KELLY ALISSON</t>
  </si>
  <si>
    <t>00110579040230728142</t>
  </si>
  <si>
    <t>43995352</t>
  </si>
  <si>
    <t>PAQUILLO TINCO  JIMMY MANUEL</t>
  </si>
  <si>
    <t>00110579020230727723</t>
  </si>
  <si>
    <t>47271933</t>
  </si>
  <si>
    <t>RIVERA GUERRERO MAYELY LIZETH</t>
  </si>
  <si>
    <t>00110579030230727812</t>
  </si>
  <si>
    <t>71951132</t>
  </si>
  <si>
    <t>TICONA SANDOVAL FRANCIS AARON</t>
  </si>
  <si>
    <t>00219119682544007251</t>
  </si>
  <si>
    <t>72208628</t>
  </si>
  <si>
    <t>ATAHUALPA MENDOZA  LUIS ALBERTO</t>
  </si>
  <si>
    <t>00110579000231299881</t>
  </si>
  <si>
    <t>07492900</t>
  </si>
  <si>
    <t>BASURTO AYALA PATRICIA</t>
  </si>
  <si>
    <t>00110579000231299571</t>
  </si>
  <si>
    <t>47616818</t>
  </si>
  <si>
    <t>VILLA QUISPE ELIZABETH MILAGROS</t>
  </si>
  <si>
    <t>00110579000231299733</t>
  </si>
  <si>
    <t>20606629509</t>
  </si>
  <si>
    <t>RULUXA PERU S.A.C.</t>
  </si>
  <si>
    <t>00219310183130600311</t>
  </si>
  <si>
    <t>SERVICIOS MULTIMEDIA S.A.C</t>
  </si>
  <si>
    <t>00110686000100025818</t>
  </si>
  <si>
    <t>20611660163</t>
  </si>
  <si>
    <t>JSN SECURITY NETWORK S.A.C.</t>
  </si>
  <si>
    <t>00313600300545102490</t>
  </si>
  <si>
    <t>10476149474</t>
  </si>
  <si>
    <t>AMAO ASENCIOS JAIR PEDRO</t>
  </si>
  <si>
    <t>00219113596192607652</t>
  </si>
  <si>
    <t>41096673</t>
  </si>
  <si>
    <t xml:space="preserve">ABARCA MORAN GABY ALEJANDRA                                                                         </t>
  </si>
  <si>
    <t>00110486000200663717</t>
  </si>
  <si>
    <t>20543922499</t>
  </si>
  <si>
    <t>INDUSTRIAS JETUR SAC</t>
  </si>
  <si>
    <t>00219400194898400598</t>
  </si>
  <si>
    <t>20600695771</t>
  </si>
  <si>
    <t>NUBEFACT SA</t>
  </si>
  <si>
    <t>00219400233655102499</t>
  </si>
  <si>
    <t>20600044975</t>
  </si>
  <si>
    <t>SUNEDU</t>
  </si>
  <si>
    <t>00219300231843806412</t>
  </si>
  <si>
    <t>43698331</t>
  </si>
  <si>
    <t>AGÜERO FALCON DALIA PRYSCILA DE LA CARIDAD</t>
  </si>
  <si>
    <t>00110094000200126648</t>
  </si>
  <si>
    <t>20543365191</t>
  </si>
  <si>
    <t>4 HEARTS INC S.A.C.</t>
  </si>
  <si>
    <t>00219400193128300896</t>
  </si>
  <si>
    <t>20602706789</t>
  </si>
  <si>
    <t>PROPACKING S.A.C.</t>
  </si>
  <si>
    <t>00219100248833701557</t>
  </si>
  <si>
    <t>20612292427</t>
  </si>
  <si>
    <t>SUMAQ KALLPA PERU-DISTRIBUCIONES S.A.C.</t>
  </si>
  <si>
    <t>00219400262786205991</t>
  </si>
  <si>
    <t>20512906231</t>
  </si>
  <si>
    <t>ARRASCUE S.A.C.</t>
  </si>
  <si>
    <t>00110128000100003151</t>
  </si>
  <si>
    <t>44165405</t>
  </si>
  <si>
    <t>TERRONES ESPINOZA ALDO CLEMENTE</t>
  </si>
  <si>
    <t>00219119565636709052</t>
  </si>
  <si>
    <t>20510093471</t>
  </si>
  <si>
    <t>INTELEGO S.C.R.L.</t>
  </si>
  <si>
    <t>00219300209454703811</t>
  </si>
  <si>
    <t>20554197796</t>
  </si>
  <si>
    <t>ACQUATECNOLOGIA S.A.C.</t>
  </si>
  <si>
    <t>00110341000100040810</t>
  </si>
  <si>
    <t>ANALÍTICA Y ELECTRÓNICA E.I.R.L</t>
  </si>
  <si>
    <t>00219112026124300158</t>
  </si>
  <si>
    <t>46091475</t>
  </si>
  <si>
    <t>MARAS VELASQUEZ JACKELIN</t>
  </si>
  <si>
    <t>00219112317757408957</t>
  </si>
  <si>
    <t>20100049181</t>
  </si>
  <si>
    <t>TAI LOY S.A.</t>
  </si>
  <si>
    <t>00219100074572417458</t>
  </si>
  <si>
    <t>20600262867</t>
  </si>
  <si>
    <t>FIREBOX PERU S.A.C.</t>
  </si>
  <si>
    <t>00110970000100008739</t>
  </si>
  <si>
    <t>20612748188</t>
  </si>
  <si>
    <t>ZAVANT S.A.C.</t>
  </si>
  <si>
    <t>00219400422082903498</t>
  </si>
  <si>
    <t>20605785591</t>
  </si>
  <si>
    <t>GRUPO CONDESSA S.A.C</t>
  </si>
  <si>
    <t>00110002000200125860</t>
  </si>
  <si>
    <t>19938072</t>
  </si>
  <si>
    <t>ROSADO DE LA CRUZ ROSSI MARILU</t>
  </si>
  <si>
    <t>00219110430344301155</t>
  </si>
  <si>
    <t>44122866</t>
  </si>
  <si>
    <t>ROCIO GABRIELA URQUIZARISCO</t>
  </si>
  <si>
    <t>00219312742254303710</t>
  </si>
  <si>
    <t>20113152169</t>
  </si>
  <si>
    <t>INVERSIONES GENERALES ARIES SA</t>
  </si>
  <si>
    <t>00110377000100053765</t>
  </si>
  <si>
    <t>VIRTUAL INTERNET SOLUTIONS S.A.C.</t>
  </si>
  <si>
    <t>00219300191857605413</t>
  </si>
  <si>
    <t>20610566767</t>
  </si>
  <si>
    <t>GONMAC CONSTRUCTORA S.A.C._x000D_</t>
  </si>
  <si>
    <t>00219100712327709158</t>
  </si>
  <si>
    <t>29279749</t>
  </si>
  <si>
    <t>Enrique Huaco Salas</t>
  </si>
  <si>
    <t>00241512931703306285</t>
  </si>
  <si>
    <t>10460914758</t>
  </si>
  <si>
    <t>20502258444</t>
  </si>
  <si>
    <t>REPRESENTACIONES MARCOS S.A.C</t>
  </si>
  <si>
    <t>00219100155264407152</t>
  </si>
  <si>
    <t>20555189631</t>
  </si>
  <si>
    <t>VSI INDUSTRIAL S.A.C.</t>
  </si>
  <si>
    <t>00110377000100040884</t>
  </si>
  <si>
    <t>10067528595</t>
  </si>
  <si>
    <t>PAUCCARA HUAYLLASI LORENZO</t>
  </si>
  <si>
    <t>00110814000219969509</t>
  </si>
  <si>
    <t>20557571354</t>
  </si>
  <si>
    <t>ECOIL SERVICIOS GENERALES SAC</t>
  </si>
  <si>
    <t>00110970110200108102</t>
  </si>
  <si>
    <t>20602277586</t>
  </si>
  <si>
    <t>EDUCATION LINK S.A.C.</t>
  </si>
  <si>
    <t>00110351000100032839</t>
  </si>
  <si>
    <t>10431538984</t>
  </si>
  <si>
    <t>NUÑEZ VILLAVICENCIO BRIAN ERNESTO</t>
  </si>
  <si>
    <t>00219317183915409910</t>
  </si>
  <si>
    <t>20608922114</t>
  </si>
  <si>
    <t>MI DEPORTE PERU E.I.R.L.</t>
  </si>
  <si>
    <t>00110108000200467210</t>
  </si>
  <si>
    <t>20600651596</t>
  </si>
  <si>
    <t>GRUPO JIMENEZ SERVIMET EIRL</t>
  </si>
  <si>
    <t>00110322000100021022</t>
  </si>
  <si>
    <t>20600076460</t>
  </si>
  <si>
    <t>QUALITY RUBBER S.A.C PERÚ_x000D_</t>
  </si>
  <si>
    <t>00110716000100011959</t>
  </si>
  <si>
    <t>20603512422</t>
  </si>
  <si>
    <t>IMPORTACIONES TECNOGRASS PERU S.A.C.</t>
  </si>
  <si>
    <t>00110312000100025414</t>
  </si>
  <si>
    <t>20613235982</t>
  </si>
  <si>
    <t>NEGOCIOS DELCON E.I.R.L._x000D_</t>
  </si>
  <si>
    <t>00219100707449807354</t>
  </si>
  <si>
    <t>10091992596</t>
  </si>
  <si>
    <t>CABRERA HEREDIA ANTONIO HERNANDO</t>
  </si>
  <si>
    <t>00110322000200388594</t>
  </si>
  <si>
    <t>10710582136</t>
  </si>
  <si>
    <t>ARAUJO ZARATE RAUL JESUS_x000D_</t>
  </si>
  <si>
    <t>00219119494851709053</t>
  </si>
  <si>
    <t>06674196</t>
  </si>
  <si>
    <t xml:space="preserve"> HANZA RAFFO JAVIER</t>
  </si>
  <si>
    <t>00972420833054964767</t>
  </si>
  <si>
    <t>20602558232</t>
  </si>
  <si>
    <t>SCH SPORT CHAMPIONS EIRL</t>
  </si>
  <si>
    <t>00308200300136934951</t>
  </si>
  <si>
    <t>INKA RALLY AUTOMOTRIZ E.I.R.L.</t>
  </si>
  <si>
    <t>00219100788578802151</t>
  </si>
  <si>
    <t>20612539252</t>
  </si>
  <si>
    <t>SOLUCIONES TOTALES MAYON S.A.C.</t>
  </si>
  <si>
    <t>00219100476904507056</t>
  </si>
  <si>
    <t>20101281371</t>
  </si>
  <si>
    <t>DUN &amp; BRADSTREET S.A.C.</t>
  </si>
  <si>
    <t>00110147660100001543</t>
  </si>
  <si>
    <t>10073073184</t>
  </si>
  <si>
    <t>CHAMBI CASTILLO LILIA FELICITA</t>
  </si>
  <si>
    <t>00219117867500600157</t>
  </si>
  <si>
    <t>20538869491</t>
  </si>
  <si>
    <t>Hotel Carrera S.A.C</t>
  </si>
  <si>
    <t>00320000300066141234</t>
  </si>
  <si>
    <t>20122695795</t>
  </si>
  <si>
    <t>IMPORTADORES A&amp;M S.R.L.</t>
  </si>
  <si>
    <t>00219100194573205750</t>
  </si>
  <si>
    <t>20122695523</t>
  </si>
  <si>
    <t>ROXANA IMPORT EXPORT S.R.L.</t>
  </si>
  <si>
    <t>00219100208503707852</t>
  </si>
  <si>
    <t>20602999140</t>
  </si>
  <si>
    <t>IEC &amp; TECNOLOGIA SAC</t>
  </si>
  <si>
    <t>00320000300320759336</t>
  </si>
  <si>
    <t>10103828711</t>
  </si>
  <si>
    <t>PANDO LLAJARUNA JESUS FILOMENO</t>
  </si>
  <si>
    <t>00219119547954207950</t>
  </si>
  <si>
    <t>20522946223</t>
  </si>
  <si>
    <t>INGEGAS SERVICE S.R.L.</t>
  </si>
  <si>
    <t>00110190000100041353</t>
  </si>
  <si>
    <t>72145759</t>
  </si>
  <si>
    <t>INFANTES PECHO PEDRO JIM</t>
  </si>
  <si>
    <t>00110579000234845143</t>
  </si>
  <si>
    <t>06080079</t>
  </si>
  <si>
    <t>Nanci Aidee Díaz Diaz </t>
  </si>
  <si>
    <t>00219311281686502613</t>
  </si>
  <si>
    <t>20537302136</t>
  </si>
  <si>
    <t>SYNTHETIC INSUMOS SAC</t>
  </si>
  <si>
    <t>00110130000100064801</t>
  </si>
  <si>
    <t>20492058999</t>
  </si>
  <si>
    <t>INVERSIONES PURIS SAC</t>
  </si>
  <si>
    <t>00110484000200111624</t>
  </si>
  <si>
    <t>20606085126</t>
  </si>
  <si>
    <t>MAC FANS SAC</t>
  </si>
  <si>
    <t>00336500300279092340</t>
  </si>
  <si>
    <t>41670729</t>
  </si>
  <si>
    <t>MEDINA VÁSQUEZ ENZO DIEGO</t>
  </si>
  <si>
    <t>00219311345458508811</t>
  </si>
  <si>
    <t>70860716</t>
  </si>
  <si>
    <t>CURI NOREÑA RAQUEL ABIGAIL</t>
  </si>
  <si>
    <t>00110579000216443623</t>
  </si>
  <si>
    <t>20609346834</t>
  </si>
  <si>
    <t>EZ CASTING E.I.R.L.</t>
  </si>
  <si>
    <t>00110161000200358968</t>
  </si>
  <si>
    <t>20514761826</t>
  </si>
  <si>
    <t>UNIDAD EJECUTORA 002 - INICTEL-UNI</t>
  </si>
  <si>
    <t>01800000000086146406</t>
  </si>
  <si>
    <t>20519147247</t>
  </si>
  <si>
    <t>BUMERAN.COM PERU SAC</t>
  </si>
  <si>
    <t>00219400173591903391</t>
  </si>
  <si>
    <t>IEC&amp;TECNOLOGIA SAC</t>
  </si>
  <si>
    <t>CLOUD SECURITEC SAC</t>
  </si>
  <si>
    <t>00219113478811600951</t>
  </si>
  <si>
    <t>20600811364</t>
  </si>
  <si>
    <t>IMPORT MEDICAL ANICAMA E.I.R.L</t>
  </si>
  <si>
    <t>00110162000100039380</t>
  </si>
  <si>
    <t>20100049857</t>
  </si>
  <si>
    <t>COLD IMPORT S.A.</t>
  </si>
  <si>
    <t>00219100015664002152</t>
  </si>
  <si>
    <t>20600051220</t>
  </si>
  <si>
    <t>GML CREACIONES EIRL</t>
  </si>
  <si>
    <t>00219200267349701834</t>
  </si>
  <si>
    <t>20492889301</t>
  </si>
  <si>
    <t>ITEMAR S.A.C.</t>
  </si>
  <si>
    <t>00110128000100007246</t>
  </si>
  <si>
    <t>20614649977</t>
  </si>
  <si>
    <t>JEAR SECURITY NETWORK E.I.R.L.</t>
  </si>
  <si>
    <t>00320000300751924733_x000D_</t>
  </si>
  <si>
    <t>10094859731</t>
  </si>
  <si>
    <t>RONCAL MALLQUI CARMEN SERLY</t>
  </si>
  <si>
    <t>00219117384647409554</t>
  </si>
  <si>
    <t>20602273360</t>
  </si>
  <si>
    <t>INTCOPERU EIRL</t>
  </si>
  <si>
    <t>00110094000200247747</t>
  </si>
  <si>
    <t>20607421502</t>
  </si>
  <si>
    <t>A&amp;G EFECTY PUBLICIDAD INTEGRAL SAC</t>
  </si>
  <si>
    <t>00219100955947707151</t>
  </si>
  <si>
    <t>10066944978</t>
  </si>
  <si>
    <t>WALL TOLEDO LUIS MIGUEL</t>
  </si>
  <si>
    <t>00219317022850608316</t>
  </si>
  <si>
    <t>10090311471</t>
  </si>
  <si>
    <t>ALANYA BELLIDO JORGE LUIS</t>
  </si>
  <si>
    <t>00219112489257701552</t>
  </si>
  <si>
    <t>20613061402</t>
  </si>
  <si>
    <t>FERMENTA 104 S.A.C.</t>
  </si>
  <si>
    <t>00219300712750105816</t>
  </si>
  <si>
    <t>06962442</t>
  </si>
  <si>
    <t>ALBORNOZ ESTEBAN ROGER</t>
  </si>
  <si>
    <t>00219117159282608455</t>
  </si>
  <si>
    <t>HUARICACHA CONDORI AMERICO FREDY</t>
  </si>
  <si>
    <t>00219113417378407255</t>
  </si>
  <si>
    <t>10464094585</t>
  </si>
  <si>
    <t>MACHUCA VARGAS MACHUCA DIEGO EDGARDO</t>
  </si>
  <si>
    <t>00219317221988407511</t>
  </si>
  <si>
    <t>10474982136</t>
  </si>
  <si>
    <t>PILCO HUAMAN WENDY MANUELA</t>
  </si>
  <si>
    <t>00110234000200404680</t>
  </si>
  <si>
    <t>41995572</t>
  </si>
  <si>
    <t>CHULAN BELLON MANUEL</t>
  </si>
  <si>
    <t>00219119529477604757</t>
  </si>
  <si>
    <t>10708316968</t>
  </si>
  <si>
    <t>VICHARRA ORTEGA JUAN SAMUEL</t>
  </si>
  <si>
    <t>00219119861532503757</t>
  </si>
  <si>
    <t>10436053946</t>
  </si>
  <si>
    <t>HUAMAN POCOMUCHA RICARDO MARCOS</t>
  </si>
  <si>
    <t>00363901309327235020</t>
  </si>
  <si>
    <t>72387371</t>
  </si>
  <si>
    <t>MARIMÓN ORTIZ SEBASTIÁN JOSÉ</t>
  </si>
  <si>
    <t>00110579040237286900</t>
  </si>
  <si>
    <t>20606470054</t>
  </si>
  <si>
    <t>GRUPO DPALMA SAC</t>
  </si>
  <si>
    <t>00110189000100064773</t>
  </si>
  <si>
    <t>73987477</t>
  </si>
  <si>
    <t>JORDAN CUBA OSCAR PAOLO</t>
  </si>
  <si>
    <t>00219313807529208917</t>
  </si>
  <si>
    <t>20600157702</t>
  </si>
  <si>
    <t>ARCHICENTER ARQUITECTOS S.A.C.</t>
  </si>
  <si>
    <t>00320000300406150935_x000D_</t>
  </si>
  <si>
    <t>40730013</t>
  </si>
  <si>
    <t>OCHOA PACHAS RONALD</t>
  </si>
  <si>
    <t>00219412355623407496</t>
  </si>
  <si>
    <t>09665737</t>
  </si>
  <si>
    <t>Maria Mercedes Yauli Choque</t>
  </si>
  <si>
    <t>00219119905601608057</t>
  </si>
  <si>
    <t>70349921</t>
  </si>
  <si>
    <t>SALAZAR DIAZ MARIA ELENA</t>
  </si>
  <si>
    <t>00110115000200622176</t>
  </si>
  <si>
    <t>18167641</t>
  </si>
  <si>
    <t>OBANDO PERALTA ENA CECILIA</t>
  </si>
  <si>
    <t>00110057000218012362</t>
  </si>
  <si>
    <t>10476691741</t>
  </si>
  <si>
    <t>IGNACIA POMA RODRIGUEZ</t>
  </si>
  <si>
    <t>00110814000203987450</t>
  </si>
  <si>
    <t>20600360389</t>
  </si>
  <si>
    <t>MASKHAY PERU SAC</t>
  </si>
  <si>
    <t>00110791020007555412</t>
  </si>
  <si>
    <t>20501493156</t>
  </si>
  <si>
    <t xml:space="preserve"> J &amp; V Multiutiles Punto Com SAC</t>
  </si>
  <si>
    <t>00110175000200987236</t>
  </si>
  <si>
    <t>20548177546</t>
  </si>
  <si>
    <t>INSUMOS INDUSTRIALES CLEAN POINT SAC</t>
  </si>
  <si>
    <t>00308700300090534249</t>
  </si>
  <si>
    <t>ASOCIACIÓN DE BANCOS DEL PERÚ</t>
  </si>
  <si>
    <t>00219100004300004350</t>
  </si>
  <si>
    <t>20613897748</t>
  </si>
  <si>
    <t>GRUPO GESINCOP SAC</t>
  </si>
  <si>
    <t>00219300712077006814</t>
  </si>
  <si>
    <t>20554241876</t>
  </si>
  <si>
    <t>EWR NEGOCIOS S.A.C.</t>
  </si>
  <si>
    <t>00219100213419300454</t>
  </si>
  <si>
    <t>20530748040</t>
  </si>
  <si>
    <t>CADENA DIAL EIRL</t>
  </si>
  <si>
    <t>00352701309604542492</t>
  </si>
  <si>
    <t>20602698735</t>
  </si>
  <si>
    <t>CORPORACION DE MEDIOS PARAISO S.A.C.</t>
  </si>
  <si>
    <t>00233500246407003382</t>
  </si>
  <si>
    <t>20605365451</t>
  </si>
  <si>
    <t>ECOVAL MULTISERVICIOS S.A.C.</t>
  </si>
  <si>
    <t>00110161000100048139</t>
  </si>
  <si>
    <t>OUTFRONT HUB S.A.C.</t>
  </si>
  <si>
    <t>00219400723188504198</t>
  </si>
  <si>
    <t>74433270</t>
  </si>
  <si>
    <t>JOCOPE GUAYANAY TANIA ERIKA</t>
  </si>
  <si>
    <t>00110579090234329854</t>
  </si>
  <si>
    <t>43253000</t>
  </si>
  <si>
    <t>JULCA GÓMEZ SONIA SUSANA</t>
  </si>
  <si>
    <t>00110814000286327414</t>
  </si>
  <si>
    <t>20611557125</t>
  </si>
  <si>
    <t>ESENCIA PUBLICITARIA SAC</t>
  </si>
  <si>
    <t>00219100994779608552</t>
  </si>
  <si>
    <t>MORE IMAN HUGO</t>
  </si>
  <si>
    <t>00219311887695002412</t>
  </si>
  <si>
    <t>10407300136</t>
  </si>
  <si>
    <t>20548247854</t>
  </si>
  <si>
    <t xml:space="preserve">ROMAT PUBLICIDAD S.A.C. </t>
  </si>
  <si>
    <t>00219300204930605912</t>
  </si>
  <si>
    <t>20603899572</t>
  </si>
  <si>
    <t>DCORA HOGAR PERU E.I.R.L.</t>
  </si>
  <si>
    <t>00219310250395004114</t>
  </si>
  <si>
    <t>10422931002</t>
  </si>
  <si>
    <t>ROJAS DELGADO GERMAN</t>
  </si>
  <si>
    <t>00219119232215209758</t>
  </si>
  <si>
    <t>SERVICIOS PROFESIONALES JCJ ASOCIADOS S.A.C.S.</t>
  </si>
  <si>
    <t>00320000300633683137</t>
  </si>
  <si>
    <t>10441228665</t>
  </si>
  <si>
    <t>URQUIZA RISCO ROCIO GABRIELA</t>
  </si>
  <si>
    <t>00308701324188500544</t>
  </si>
  <si>
    <t>20614987864</t>
  </si>
  <si>
    <t>BIOYEMKAL E.I.R.L</t>
  </si>
  <si>
    <t>00219419857619401096</t>
  </si>
  <si>
    <t>20434327611</t>
  </si>
  <si>
    <t>SUPERTEC S.A.C.</t>
  </si>
  <si>
    <t xml:space="preserve">00219100928353406855 </t>
  </si>
  <si>
    <t>20610035885</t>
  </si>
  <si>
    <t>INVERSIONES INTCOPERU E.I.R.L.</t>
  </si>
  <si>
    <t>00110175000200986531</t>
  </si>
  <si>
    <t>20602868495</t>
  </si>
  <si>
    <t>DIGITALZ PERÚ S.A.C.</t>
  </si>
  <si>
    <t>00219300248575705413</t>
  </si>
  <si>
    <t>10476691741 </t>
  </si>
  <si>
    <t>LINE OF DESIGN S.A.C.</t>
  </si>
  <si>
    <t>00219400988835608199</t>
  </si>
  <si>
    <t>VAYA VALLA PUBLICIDAD EXTERIOR S.R.L.</t>
  </si>
  <si>
    <t>00110654000200011798</t>
  </si>
  <si>
    <t>YOMIRA LAURA POLO LAVADO</t>
  </si>
  <si>
    <t>00219119471474005258</t>
  </si>
  <si>
    <t>GUTIÉRREZ URIARTE SANDRA PAOLA</t>
  </si>
  <si>
    <t>00363001320185852518</t>
  </si>
  <si>
    <t>José Gregorio Rodríguez Olivo</t>
  </si>
  <si>
    <t>00333001335895073383</t>
  </si>
  <si>
    <t>EGOLARTE SAC</t>
  </si>
  <si>
    <t>00110353000100044099</t>
  </si>
  <si>
    <t>HOLACLIENTE SAC</t>
  </si>
  <si>
    <t>00110908000100006797</t>
  </si>
  <si>
    <t>POPUCHE CABRERA KARINA</t>
  </si>
  <si>
    <t>00370001307385084521</t>
  </si>
  <si>
    <t>KUELAP INGENIEROS S.A.C</t>
  </si>
  <si>
    <t>00110787000100029979</t>
  </si>
  <si>
    <t>VENTURA CAVALCANTI MIRIAM HEYDI</t>
  </si>
  <si>
    <t>00110057000222462445</t>
  </si>
  <si>
    <t>NYTEC S.A.C.</t>
  </si>
  <si>
    <t>HOTELERA COSTA DEL PACIFICO S.A</t>
  </si>
  <si>
    <t>Tabla 6</t>
  </si>
  <si>
    <t>20610162160</t>
  </si>
  <si>
    <t>BIG CHEESE S.A.C.</t>
  </si>
  <si>
    <t>00110048000100016712</t>
  </si>
  <si>
    <t>20608571109</t>
  </si>
  <si>
    <t>CEAVE S.A.C._x000D_</t>
  </si>
  <si>
    <t>00219400974591418390</t>
  </si>
  <si>
    <t>20612369233</t>
  </si>
  <si>
    <t>C&amp;S TECNOLOGIA S.A.C.</t>
  </si>
  <si>
    <t>00110358940100067592</t>
  </si>
  <si>
    <t>00110119000200463096</t>
  </si>
  <si>
    <t>00304500300134240523</t>
  </si>
  <si>
    <t>00219300004163718417</t>
  </si>
  <si>
    <t>20552173270</t>
  </si>
  <si>
    <t>IRENT PERU SAC</t>
  </si>
  <si>
    <t>00219300215368318215</t>
  </si>
  <si>
    <t>20610151630</t>
  </si>
  <si>
    <t>PROYECTSOL E.I.R.L</t>
  </si>
  <si>
    <t>00320000300475648431</t>
  </si>
  <si>
    <t>20612101192</t>
  </si>
  <si>
    <t>DIGITAL SYSTEMS SAC</t>
  </si>
  <si>
    <t>00320000300690816832</t>
  </si>
  <si>
    <t>00389800300393291945</t>
  </si>
  <si>
    <t>00219100101694710059</t>
  </si>
  <si>
    <t>00110814000271213110</t>
  </si>
  <si>
    <t>CORREO USUARIO SOLICITANTE</t>
  </si>
  <si>
    <t>GERENCIA DE OPERACIONES</t>
  </si>
  <si>
    <t>RAFAEL.LANDAURO@UMA.EDU.PE</t>
  </si>
  <si>
    <t>TIPO DE BIEN O SERVICIO</t>
  </si>
  <si>
    <t>12%: Asesorías, tercerización, intermediación laboral, mantenimiento y reparación de bienes muebles.</t>
  </si>
  <si>
    <t>10%: Arrendamiento de bienes, transporte de personas, movimiento de carga.</t>
  </si>
  <si>
    <t>4%: Contratos de construcción, primera venta de inmuebles, transporte de bienes por vía terrestre</t>
  </si>
  <si>
    <t>Planillas</t>
  </si>
  <si>
    <t>Honorarios de cuarta categoría</t>
  </si>
  <si>
    <t>Sí</t>
  </si>
  <si>
    <t>Remodelaciones</t>
  </si>
  <si>
    <t>Transporte de carga</t>
  </si>
  <si>
    <t>Transporte de personal</t>
  </si>
  <si>
    <t>Transporte de estudiantes</t>
  </si>
  <si>
    <t>Alquiler de fotocopiadoras</t>
  </si>
  <si>
    <t>Alquiler de vehículos</t>
  </si>
  <si>
    <t>Mantenimiento de vehículos</t>
  </si>
  <si>
    <t>Mantenimiento de computadoras</t>
  </si>
  <si>
    <t>Desarrollo de software</t>
  </si>
  <si>
    <t>Auditoría financiera</t>
  </si>
  <si>
    <t>Consultoría legal</t>
  </si>
  <si>
    <t>Consultoría tributaria</t>
  </si>
  <si>
    <t>Outsourcing de personal</t>
  </si>
  <si>
    <t>%</t>
  </si>
  <si>
    <t>Aplica Detracción</t>
  </si>
  <si>
    <t>Servicio especializado</t>
  </si>
  <si>
    <t>Alquiler de equipos de laboratorio</t>
  </si>
  <si>
    <t>Arrendamiento de bienes</t>
  </si>
  <si>
    <t>Fabricación por encargo</t>
  </si>
  <si>
    <t>Tabla Maestra de Detracciones para Entidades Educativas</t>
  </si>
  <si>
    <t>Categoría de Compra o Servicio</t>
  </si>
  <si>
    <t>Observaciones</t>
  </si>
  <si>
    <t>Servicios de vigilancia</t>
  </si>
  <si>
    <t>Intermediación laboral / tercerización</t>
  </si>
  <si>
    <t>Servicios de limpieza</t>
  </si>
  <si>
    <t>Otros servicios empresariales</t>
  </si>
  <si>
    <t>Consultoría académica</t>
  </si>
  <si>
    <t>Soporte TI</t>
  </si>
  <si>
    <t>Hosting y servicios tecnológicos</t>
  </si>
  <si>
    <t>Publicidad y marketing</t>
  </si>
  <si>
    <t>Servicios de diseño gráfico</t>
  </si>
  <si>
    <t>Estudios de mercado</t>
  </si>
  <si>
    <t>Capacitación institucional</t>
  </si>
  <si>
    <t>Mantenimiento de bienes muebles</t>
  </si>
  <si>
    <t>Mantenimiento de equipos biomédicos</t>
  </si>
  <si>
    <t>Mantenimiento de equipos de laboratorio</t>
  </si>
  <si>
    <t>Mantenimiento de ascensores</t>
  </si>
  <si>
    <t>Calibración de equipos de laboratorio</t>
  </si>
  <si>
    <t>Alquiler de inmuebles</t>
  </si>
  <si>
    <t>Alquiler de aulas</t>
  </si>
  <si>
    <t>Transporte de personas</t>
  </si>
  <si>
    <t>Transporte de docentes</t>
  </si>
  <si>
    <t>Transporte de mobiliario y equipos</t>
  </si>
  <si>
    <t>Construcción de pabellones</t>
  </si>
  <si>
    <t>Contrato de construcción</t>
  </si>
  <si>
    <t>Remodelación de infraestructura</t>
  </si>
  <si>
    <t>Acondicionamiento de laboratorios</t>
  </si>
  <si>
    <t>Si constituye obra o construcción</t>
  </si>
  <si>
    <t>Fabricación de mobiliario por encargo</t>
  </si>
  <si>
    <t>Fabricación de bienes por encargo</t>
  </si>
  <si>
    <t>Comisión por captación de alumnos</t>
  </si>
  <si>
    <t>Comisión mercantil</t>
  </si>
  <si>
    <t>Servicios no clasificados afectos a IGV</t>
  </si>
  <si>
    <t>Demás servicios gravados con IGV</t>
  </si>
  <si>
    <t>Operaciones que Normalmente NO Aplican Detracción</t>
  </si>
  <si>
    <t>Compra de computadoras</t>
  </si>
  <si>
    <t>No</t>
  </si>
  <si>
    <t>Bienes no incluidos en SPOT</t>
  </si>
  <si>
    <t>Compra de laptops</t>
  </si>
  <si>
    <t>Compra de impresoras</t>
  </si>
  <si>
    <t>Compra de proyectores</t>
  </si>
  <si>
    <t>Compra de servidores</t>
  </si>
  <si>
    <t>Compra de mobiliario estándar</t>
  </si>
  <si>
    <t>Compra de equipos biomédicos</t>
  </si>
  <si>
    <t>Compra de microscopios</t>
  </si>
  <si>
    <t>Compra de simuladores clínicos</t>
  </si>
  <si>
    <t>Compra de campanas extractoras</t>
  </si>
  <si>
    <t>Compra de equipos de laboratorio</t>
  </si>
  <si>
    <t>Compra de instrumental médico</t>
  </si>
  <si>
    <t>Compra de reactivos</t>
  </si>
  <si>
    <t>Compra de materiales educativos</t>
  </si>
  <si>
    <t>Compra de libros</t>
  </si>
  <si>
    <t>Compra de útiles de oficina</t>
  </si>
  <si>
    <t>Compra de licencias de software estándar</t>
  </si>
  <si>
    <t>Salvo que se facture como servicio sujeto</t>
  </si>
  <si>
    <t>No forman parte del SPOT</t>
  </si>
  <si>
    <t>Remuneraciones y planillas</t>
  </si>
  <si>
    <t>Tributos y tasas</t>
  </si>
  <si>
    <t>Servicios educativos recibidos de entidades educativas</t>
  </si>
  <si>
    <t>Revisar naturaleza tributaria específica</t>
  </si>
  <si>
    <t>Regla de Negocio Recomendada para el Sistema</t>
  </si>
  <si>
    <t>Grupo A - Detracción 12%</t>
  </si>
  <si>
    <t>Vigilancia</t>
  </si>
  <si>
    <t>Limpieza</t>
  </si>
  <si>
    <t>Outsourcing</t>
  </si>
  <si>
    <t>Consultorías</t>
  </si>
  <si>
    <t>Auditorías</t>
  </si>
  <si>
    <t>Software</t>
  </si>
  <si>
    <t>Publicidad</t>
  </si>
  <si>
    <t>Mantenimiento</t>
  </si>
  <si>
    <t>Calibraciones</t>
  </si>
  <si>
    <t>Grupo B - Detracción 10%</t>
  </si>
  <si>
    <t>Alquileres</t>
  </si>
  <si>
    <t>Arrendamientos</t>
  </si>
  <si>
    <t>Comisiones</t>
  </si>
  <si>
    <t>Grupo C - Detracción 4%</t>
  </si>
  <si>
    <t>Construcción</t>
  </si>
  <si>
    <t>Grupo D - No Aplica</t>
  </si>
  <si>
    <t>Compra de activos fijos</t>
  </si>
  <si>
    <t>Compra de equipos médicos</t>
  </si>
  <si>
    <t>Compra de mobiliario</t>
  </si>
  <si>
    <t>Propuesta de Parametrización para SIGU</t>
  </si>
  <si>
    <t>Tipo de Operación</t>
  </si>
  <si>
    <t>Detracción</t>
  </si>
  <si>
    <t>Servicios Empresariales</t>
  </si>
  <si>
    <t>Mantenimiento y Reparación</t>
  </si>
  <si>
    <t>Arrendamiento</t>
  </si>
  <si>
    <t>Transporte de Personas</t>
  </si>
  <si>
    <t>Fabricación por Encargo</t>
  </si>
  <si>
    <t>Comisión Mercantil</t>
  </si>
  <si>
    <t>Construcción y Obras</t>
  </si>
  <si>
    <t>Transporte de Carga</t>
  </si>
  <si>
    <t>No sujeto a detracción</t>
  </si>
  <si>
    <t>Operaciones que Normalmente SI Aplican Detracción</t>
  </si>
  <si>
    <t>Aplica</t>
  </si>
  <si>
    <t>DETRACCION</t>
  </si>
  <si>
    <t>COMPRA DE REACTIVOS</t>
  </si>
  <si>
    <t>CONSULTORÍA TRIBUTARIA</t>
  </si>
  <si>
    <t>TIPO DE CAMBIO</t>
  </si>
  <si>
    <t>MONTO BRUTO USD-SOLES</t>
  </si>
  <si>
    <t>SERVICIO MULTIPRODUCTO DIGITAL-MANTENIMIENTO - SUSCRIPCIÓN - JUN. 26</t>
  </si>
  <si>
    <t>PAGO INTERNET BARRANCA MAYO Y JUNIO</t>
  </si>
  <si>
    <t>POLOS Y CAMISAS INSTITUCIONALES</t>
  </si>
  <si>
    <t>MOVILIDAD POR  COBERTURA FOTOGRÁFICA EN EL CIAM DE SJL 25.06</t>
  </si>
  <si>
    <t>COMPRA DE TINTA PARA IMPRESORA - FYB</t>
  </si>
  <si>
    <t>GASTOS - POA 2026 FYB</t>
  </si>
  <si>
    <t>MANTENIMIENTO DE LOS EQUIPOS DE LABORATORIO FYB - HABILITACIÓN ELECTRICA PARA AUTOCLAVE</t>
  </si>
  <si>
    <t>MANTENIMIENTO DE LOS EQUIPOS DE LABORATORIO FYB</t>
  </si>
  <si>
    <t>MANTENIMIENTO DE MICROSCOPIO DE LABORATORIO FYB</t>
  </si>
  <si>
    <t>DEVOLUCIÓN DE PAGO POR DESISTIMIENTO</t>
  </si>
  <si>
    <t>VISITA A MUNICIPALIDAD SJL -GESTIÓN DE RIESGOS</t>
  </si>
  <si>
    <t>PROSPECCIÓN DE COLEGIOS - PROYECCIÓN DE GASTOS DEL JULIO</t>
  </si>
  <si>
    <t xml:space="preserve"> INSUMOS DEL LABORATORIO - FYB</t>
  </si>
  <si>
    <t>SERVICIO DE BOLSA WHATSAPP - TESORERÍA</t>
  </si>
  <si>
    <t>REDES SOCIALES JULIO - POA 2026</t>
  </si>
  <si>
    <t>REDES SOCIALES JULIO- POA  POSGARDO 2026</t>
  </si>
  <si>
    <t>GASTOS ADICIONALES JUNIO - PROMOTORIA COLEGIO Y GRUA PARA MINIVAN</t>
  </si>
  <si>
    <t>SERVICIO YAPAGO CLOUD - JULIO</t>
  </si>
  <si>
    <t>COMPLETA PAGO - ESTUDIO DE SUELOS  CON FINES DE CIMENTACIÓN - LOTE 7</t>
  </si>
  <si>
    <t>TOGAS Y SALIDA DE PICA- PICA</t>
  </si>
  <si>
    <t>DEPOSITO INDECOPI -  SOLICITADO POR GABI MORÁN</t>
  </si>
  <si>
    <t>PANTALLA INTERACTIVA - RECTORADO</t>
  </si>
  <si>
    <t>COMPLETA PAGO DESARROLLO DE API - SISTEMA DE ASISTENCIA</t>
  </si>
  <si>
    <t>RESERVA DEL HOTEL EN TRUJILLO - DRA GLADYS</t>
  </si>
  <si>
    <t>REEMBOLSO POR COPIA DE LLAVES</t>
  </si>
  <si>
    <t>ADELANTO DE MANTENIMIENTO DE MINIVAN</t>
  </si>
  <si>
    <t>MONTO NETO A PAGAR</t>
  </si>
  <si>
    <t>SALDO POR PAGAR</t>
  </si>
  <si>
    <t>CARNET DE EXTRANJERIA</t>
  </si>
  <si>
    <t>APROBADO INDIVIDUAL</t>
  </si>
  <si>
    <t>SECCIÓN 1: INFORMACIÓN DEL SOLICITANTE (IDENTIFICACIÓN)</t>
  </si>
  <si>
    <t>ADQUISICIÓN DE ESTOLAS.PDF</t>
  </si>
  <si>
    <t>INVOICE_F 030-1845269.PDF</t>
  </si>
  <si>
    <t>INTERNET DE BARRANCA.PDF</t>
  </si>
  <si>
    <t>PDF-DOC-E001-24210074982650 (1).PDF</t>
  </si>
  <si>
    <t>MOVILIDAD-SANDRA.PDF</t>
  </si>
  <si>
    <t>TINTA DE IMPRESORA.PDF</t>
  </si>
  <si>
    <t>GASTOS DE POA 2026 - FYB.PDF</t>
  </si>
  <si>
    <t>COT. 26-065 UMA HABILITACION ELECTRICO PARA AUTOCLAVE MRC E-AU001.XLS</t>
  </si>
  <si>
    <t>COT. 26-064 UMA MANTENIMIENTO DE EQUIPOS VARIOS.XLS</t>
  </si>
  <si>
    <t>COT. 26-063 UMA MANTENIMIENTO DE MICROSCOPIOS..PDF</t>
  </si>
  <si>
    <t>F002-0001597.PDF</t>
  </si>
  <si>
    <t>COMPLETA PAGO DE MEDALLAS..PDF</t>
  </si>
  <si>
    <t>DEVOLUCIÓN DE PAGO POR DESISTIMIENTO.PDF</t>
  </si>
  <si>
    <t>SECCIÓN 2: DATOS DEL PROVEEDOR Y SUSTENTO</t>
  </si>
  <si>
    <t>SECCIÓN 5: CONTROL Y ESTADOS</t>
  </si>
  <si>
    <t>ESTADO DEL REQUERIMIENTO</t>
  </si>
  <si>
    <t>TIPO DE PAGO</t>
  </si>
  <si>
    <t>HOSTING Y SERVICIOS TECNOLÓGICOS</t>
  </si>
  <si>
    <t>PUBLICIDAD Y MARKETING</t>
  </si>
  <si>
    <t>SERVICIOS NO CLASIFICADOS AFECTOS A IGV</t>
  </si>
  <si>
    <t>COMPRA DE MATERIALES EDUCATIVOS</t>
  </si>
  <si>
    <t>ALQUILER DE INMUEBLES</t>
  </si>
  <si>
    <t>COMPRA DE ÚTILES DE OFICINA</t>
  </si>
  <si>
    <t>COMPRA DE EQUIPOS DE LABORATORIO</t>
  </si>
  <si>
    <t>SOPORTE TI</t>
  </si>
  <si>
    <t>MANTENIMIENTO DE EQUIPOS DE LABORATORIO</t>
  </si>
  <si>
    <t>SERVICIOS DE LIMPIEZA</t>
  </si>
  <si>
    <t>TRANSPORTE DE PERSONAL</t>
  </si>
  <si>
    <t>DESARROLLO DE SOFTWARE</t>
  </si>
  <si>
    <t>MANTENIMIENTO DE VEHÍCULOS</t>
  </si>
  <si>
    <t>SERVICIOS DE VIGILANCIA</t>
  </si>
  <si>
    <t>MANTENIMIENTO DE ASCENSORES</t>
  </si>
  <si>
    <t>COMPRA DE MOBILIARIO ESTÁNDAR</t>
  </si>
  <si>
    <t>OUTSOURCING DE PERSONAL</t>
  </si>
  <si>
    <t>Compra de bienes comunes</t>
  </si>
  <si>
    <t>Alquiler de bienes  (muebles)</t>
  </si>
  <si>
    <t>Servicios empresariales</t>
  </si>
  <si>
    <t>COMPRA DE BIENES COMUNES</t>
  </si>
  <si>
    <t>ALQUILER DE BIENES  (MUEBLES)</t>
  </si>
  <si>
    <t>SERVICIOS EMPRESARIALES</t>
  </si>
  <si>
    <t>SECCIÓN 3: DATOS DE TESORERÍA</t>
  </si>
  <si>
    <t>SECCIÓN 4: BLOQUE FINANCIERO Y DE VIABILIDAD</t>
  </si>
  <si>
    <t>Tabla 6 5</t>
  </si>
  <si>
    <t>EP DE FARMACIA Y BIOQUÍMICA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</si>
</sst>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dd/mm/yyyy;@"/>
    <numFmt numFmtId="165" formatCode="_(&quot;S/.&quot;\ * #,##0.00_);_(&quot;S/.&quot;\ * \(#,##0.00\);_(&quot;S/.&quot;\ * &quot;-&quot;??_);_(@_)"/>
    <numFmt numFmtId="166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  <scheme val="minor"/>
    </font>
    <font>
      <sz val="10"/>
      <color theme="1"/>
      <name val="Arial Narrow"/>
      <family val="2"/>
    </font>
    <font>
      <sz val="8"/>
      <name val="Calibri"/>
      <family val="2"/>
      <scheme val="minor"/>
    </font>
    <font>
      <b/>
      <sz val="20"/>
      <color rgb="FF00206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9"/>
      <color rgb="FFFF0000"/>
      <name val="Arial"/>
      <family val="2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</fills>
  <borders count="2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7" xfId="0" applyBorder="1"/>
    <xf numFmtId="49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49" fontId="3" fillId="2" borderId="6" xfId="0" applyNumberFormat="1" applyFont="1" applyFill="1" applyBorder="1" applyAlignment="1">
      <alignment horizontal="center"/>
    </xf>
    <xf numFmtId="49" fontId="4" fillId="0" borderId="2" xfId="0" applyNumberFormat="1" applyFont="1" applyBorder="1"/>
    <xf numFmtId="0" fontId="4" fillId="0" borderId="2" xfId="0" applyFont="1" applyBorder="1"/>
    <xf numFmtId="49" fontId="4" fillId="0" borderId="3" xfId="0" applyNumberFormat="1" applyFont="1" applyBorder="1"/>
    <xf numFmtId="49" fontId="4" fillId="0" borderId="2" xfId="0" applyNumberFormat="1" applyFont="1" applyBorder="1" applyAlignment="1">
      <alignment horizontal="center"/>
    </xf>
    <xf numFmtId="49" fontId="4" fillId="0" borderId="7" xfId="0" applyNumberFormat="1" applyFont="1" applyBorder="1"/>
    <xf numFmtId="0" fontId="4" fillId="0" borderId="7" xfId="0" applyFont="1" applyBorder="1"/>
    <xf numFmtId="49" fontId="4" fillId="0" borderId="8" xfId="0" applyNumberFormat="1" applyFont="1" applyBorder="1"/>
    <xf numFmtId="49" fontId="4" fillId="0" borderId="7" xfId="0" applyNumberFormat="1" applyFont="1" applyBorder="1" applyAlignment="1">
      <alignment horizontal="center"/>
    </xf>
    <xf numFmtId="43" fontId="0" fillId="0" borderId="0" xfId="1" applyFont="1"/>
    <xf numFmtId="0" fontId="0" fillId="0" borderId="11" xfId="0" applyBorder="1" applyAlignment="1" applyProtection="1">
      <alignment horizontal="center"/>
      <protection locked="0"/>
    </xf>
    <xf numFmtId="165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/>
    </xf>
    <xf numFmtId="0" fontId="0" fillId="3" borderId="2" xfId="0" applyFill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8" fillId="3" borderId="2" xfId="0" applyFont="1" applyFill="1" applyBorder="1"/>
    <xf numFmtId="0" fontId="0" fillId="0" borderId="9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1" applyNumberFormat="1" applyFont="1"/>
    <xf numFmtId="0" fontId="12" fillId="0" borderId="4" xfId="3" applyBorder="1" applyAlignment="1" applyProtection="1">
      <alignment horizontal="left"/>
      <protection locked="0"/>
    </xf>
    <xf numFmtId="166" fontId="11" fillId="0" borderId="0" xfId="1" applyNumberFormat="1" applyFont="1"/>
    <xf numFmtId="43" fontId="0" fillId="0" borderId="4" xfId="1" applyFont="1" applyBorder="1" applyProtection="1">
      <protection locked="0"/>
    </xf>
    <xf numFmtId="0" fontId="4" fillId="0" borderId="7" xfId="0" applyFont="1" applyBorder="1" applyAlignment="1">
      <alignment wrapText="1"/>
    </xf>
    <xf numFmtId="49" fontId="4" fillId="0" borderId="8" xfId="0" applyNumberFormat="1" applyFont="1" applyBorder="1" applyAlignment="1">
      <alignment wrapText="1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wrapText="1"/>
    </xf>
    <xf numFmtId="49" fontId="4" fillId="0" borderId="2" xfId="0" applyNumberFormat="1" applyFont="1" applyBorder="1" applyAlignment="1">
      <alignment horizontal="left"/>
    </xf>
    <xf numFmtId="49" fontId="4" fillId="0" borderId="7" xfId="0" applyNumberFormat="1" applyFont="1" applyBorder="1" applyAlignment="1">
      <alignment horizontal="left"/>
    </xf>
    <xf numFmtId="49" fontId="4" fillId="0" borderId="3" xfId="0" applyNumberFormat="1" applyFont="1" applyBorder="1" applyAlignment="1">
      <alignment wrapText="1"/>
    </xf>
    <xf numFmtId="0" fontId="4" fillId="0" borderId="0" xfId="0" applyFont="1"/>
    <xf numFmtId="0" fontId="4" fillId="0" borderId="3" xfId="0" applyFont="1" applyBorder="1"/>
    <xf numFmtId="0" fontId="13" fillId="0" borderId="0" xfId="0" applyFont="1"/>
    <xf numFmtId="0" fontId="3" fillId="0" borderId="2" xfId="0" applyFont="1" applyBorder="1"/>
    <xf numFmtId="49" fontId="3" fillId="0" borderId="3" xfId="0" applyNumberFormat="1" applyFont="1" applyBorder="1"/>
    <xf numFmtId="49" fontId="3" fillId="0" borderId="2" xfId="0" applyNumberFormat="1" applyFont="1" applyBorder="1" applyAlignment="1">
      <alignment horizontal="center"/>
    </xf>
    <xf numFmtId="0" fontId="4" fillId="3" borderId="2" xfId="0" applyFont="1" applyFill="1" applyBorder="1"/>
    <xf numFmtId="49" fontId="4" fillId="3" borderId="3" xfId="0" applyNumberFormat="1" applyFont="1" applyFill="1" applyBorder="1"/>
    <xf numFmtId="0" fontId="3" fillId="3" borderId="2" xfId="0" applyFont="1" applyFill="1" applyBorder="1"/>
    <xf numFmtId="49" fontId="3" fillId="3" borderId="3" xfId="0" applyNumberFormat="1" applyFont="1" applyFill="1" applyBorder="1"/>
    <xf numFmtId="49" fontId="4" fillId="3" borderId="2" xfId="0" applyNumberFormat="1" applyFont="1" applyFill="1" applyBorder="1"/>
    <xf numFmtId="49" fontId="4" fillId="3" borderId="2" xfId="0" applyNumberFormat="1" applyFont="1" applyFill="1" applyBorder="1" applyAlignment="1">
      <alignment horizontal="left"/>
    </xf>
    <xf numFmtId="49" fontId="4" fillId="3" borderId="2" xfId="0" applyNumberFormat="1" applyFont="1" applyFill="1" applyBorder="1" applyAlignment="1">
      <alignment horizontal="center"/>
    </xf>
    <xf numFmtId="49" fontId="3" fillId="3" borderId="2" xfId="0" applyNumberFormat="1" applyFont="1" applyFill="1" applyBorder="1" applyAlignment="1">
      <alignment horizontal="center"/>
    </xf>
    <xf numFmtId="49" fontId="9" fillId="0" borderId="0" xfId="2" applyNumberFormat="1" applyFont="1" applyFill="1" applyBorder="1" applyAlignment="1">
      <alignment horizontal="center" vertical="center"/>
    </xf>
    <xf numFmtId="166" fontId="9" fillId="0" borderId="12" xfId="1" applyNumberFormat="1" applyFont="1" applyFill="1" applyBorder="1" applyAlignment="1">
      <alignment horizontal="center" vertical="center"/>
    </xf>
    <xf numFmtId="49" fontId="9" fillId="0" borderId="13" xfId="2" applyNumberFormat="1" applyFont="1" applyFill="1" applyBorder="1" applyAlignment="1">
      <alignment horizontal="center" vertical="center"/>
    </xf>
    <xf numFmtId="0" fontId="0" fillId="0" borderId="14" xfId="0" applyBorder="1"/>
    <xf numFmtId="166" fontId="9" fillId="0" borderId="15" xfId="1" applyNumberFormat="1" applyFont="1" applyFill="1" applyBorder="1" applyAlignment="1">
      <alignment horizontal="center" vertical="center"/>
    </xf>
    <xf numFmtId="0" fontId="0" fillId="0" borderId="16" xfId="0" applyBorder="1"/>
    <xf numFmtId="166" fontId="9" fillId="0" borderId="17" xfId="1" applyNumberFormat="1" applyFont="1" applyFill="1" applyBorder="1" applyAlignment="1">
      <alignment horizontal="center" vertical="center"/>
    </xf>
    <xf numFmtId="49" fontId="9" fillId="0" borderId="18" xfId="2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8" fillId="0" borderId="0" xfId="0" applyFont="1"/>
    <xf numFmtId="166" fontId="8" fillId="0" borderId="0" xfId="1" applyNumberFormat="1" applyFont="1" applyFill="1" applyBorder="1"/>
    <xf numFmtId="43" fontId="8" fillId="0" borderId="0" xfId="1" applyFont="1" applyFill="1" applyBorder="1"/>
    <xf numFmtId="0" fontId="1" fillId="0" borderId="22" xfId="0" applyFont="1" applyBorder="1"/>
    <xf numFmtId="0" fontId="1" fillId="0" borderId="16" xfId="0" applyFont="1" applyBorder="1"/>
    <xf numFmtId="0" fontId="1" fillId="0" borderId="21" xfId="0" applyFont="1" applyBorder="1"/>
    <xf numFmtId="0" fontId="1" fillId="0" borderId="19" xfId="0" applyFont="1" applyBorder="1"/>
    <xf numFmtId="0" fontId="4" fillId="0" borderId="20" xfId="0" applyFont="1" applyBorder="1"/>
    <xf numFmtId="0" fontId="3" fillId="0" borderId="20" xfId="0" applyFont="1" applyBorder="1"/>
    <xf numFmtId="0" fontId="3" fillId="0" borderId="14" xfId="0" applyFont="1" applyBorder="1"/>
    <xf numFmtId="0" fontId="1" fillId="0" borderId="23" xfId="0" applyFont="1" applyBorder="1"/>
    <xf numFmtId="0" fontId="1" fillId="0" borderId="24" xfId="0" applyFont="1" applyBorder="1"/>
    <xf numFmtId="166" fontId="5" fillId="4" borderId="10" xfId="1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43" fontId="5" fillId="4" borderId="10" xfId="1" applyFont="1" applyFill="1" applyBorder="1" applyAlignment="1">
      <alignment horizontal="center" vertical="center"/>
    </xf>
    <xf numFmtId="166" fontId="15" fillId="0" borderId="0" xfId="1" applyNumberFormat="1" applyFont="1" applyAlignment="1"/>
    <xf numFmtId="0" fontId="16" fillId="5" borderId="10" xfId="0" applyFont="1" applyFill="1" applyBorder="1" applyAlignment="1">
      <alignment horizontal="center" vertical="center"/>
    </xf>
    <xf numFmtId="0" fontId="17" fillId="5" borderId="0" xfId="0" applyFont="1" applyFill="1"/>
    <xf numFmtId="49" fontId="4" fillId="3" borderId="7" xfId="0" applyNumberFormat="1" applyFont="1" applyFill="1" applyBorder="1" applyAlignment="1">
      <alignment horizontal="left"/>
    </xf>
    <xf numFmtId="0" fontId="3" fillId="3" borderId="7" xfId="0" applyFont="1" applyFill="1" applyBorder="1"/>
    <xf numFmtId="49" fontId="3" fillId="3" borderId="8" xfId="0" applyNumberFormat="1" applyFont="1" applyFill="1" applyBorder="1"/>
    <xf numFmtId="49" fontId="3" fillId="3" borderId="7" xfId="0" applyNumberFormat="1" applyFont="1" applyFill="1" applyBorder="1" applyAlignment="1">
      <alignment horizontal="center"/>
    </xf>
    <xf numFmtId="166" fontId="8" fillId="0" borderId="0" xfId="1" applyNumberFormat="1" applyFont="1" applyFill="1" applyAlignment="1">
      <alignment horizontal="center"/>
    </xf>
    <xf numFmtId="43" fontId="12" fillId="0" borderId="4" xfId="1" applyFont="1" applyBorder="1" applyAlignment="1" applyProtection="1">
      <alignment horizontal="left"/>
      <protection locked="0"/>
    </xf>
    <xf numFmtId="9" fontId="0" fillId="0" borderId="0" xfId="0" applyNumberFormat="1"/>
    <xf numFmtId="16" fontId="0" fillId="0" borderId="0" xfId="0" applyNumberFormat="1"/>
    <xf numFmtId="43" fontId="8" fillId="0" borderId="0" xfId="1" applyFont="1" applyFill="1" applyBorder="1" applyAlignment="1">
      <alignment shrinkToFit="1"/>
    </xf>
    <xf numFmtId="164" fontId="8" fillId="0" borderId="0" xfId="0" applyNumberFormat="1" applyFont="1"/>
    <xf numFmtId="164" fontId="8" fillId="0" borderId="0" xfId="0" applyNumberFormat="1" applyFont="1" applyAlignment="1">
      <alignment horizontal="center"/>
    </xf>
    <xf numFmtId="49" fontId="8" fillId="0" borderId="0" xfId="0" applyNumberFormat="1" applyFont="1"/>
    <xf numFmtId="164" fontId="8" fillId="0" borderId="0" xfId="0" applyNumberFormat="1" applyFont="1" applyAlignment="1">
      <alignment horizontal="left"/>
    </xf>
    <xf numFmtId="43" fontId="8" fillId="0" borderId="0" xfId="1" applyFont="1" applyFill="1"/>
    <xf numFmtId="43" fontId="8" fillId="0" borderId="0" xfId="1" applyFont="1" applyFill="1" applyAlignment="1">
      <alignment horizontal="center"/>
    </xf>
    <xf numFmtId="15" fontId="8" fillId="0" borderId="0" xfId="0" applyNumberFormat="1" applyFont="1"/>
    <xf numFmtId="15" fontId="8" fillId="0" borderId="0" xfId="0" applyNumberFormat="1" applyFont="1" applyAlignment="1">
      <alignment horizontal="center"/>
    </xf>
    <xf numFmtId="0" fontId="19" fillId="0" borderId="0" xfId="3" applyFont="1" applyFill="1"/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49" fontId="8" fillId="0" borderId="0" xfId="0" applyNumberFormat="1" applyFont="1" applyAlignment="1">
      <alignment horizontal="left"/>
    </xf>
    <xf numFmtId="0" fontId="8" fillId="0" borderId="0" xfId="0" applyFont="1" applyAlignment="1">
      <alignment wrapText="1"/>
    </xf>
    <xf numFmtId="49" fontId="8" fillId="0" borderId="0" xfId="0" applyNumberFormat="1" applyFont="1" applyAlignment="1">
      <alignment horizontal="left" wrapText="1"/>
    </xf>
    <xf numFmtId="0" fontId="19" fillId="0" borderId="0" xfId="4" applyFont="1" applyFill="1"/>
    <xf numFmtId="0" fontId="8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  <xf numFmtId="43" fontId="14" fillId="0" borderId="0" xfId="1" applyFont="1" applyFill="1" applyBorder="1" applyAlignment="1">
      <alignment horizontal="center" vertical="center" wrapText="1"/>
    </xf>
    <xf numFmtId="43" fontId="14" fillId="0" borderId="0" xfId="1" applyFont="1" applyFill="1" applyAlignment="1">
      <alignment horizontal="center" vertical="center" wrapText="1"/>
    </xf>
    <xf numFmtId="49" fontId="8" fillId="0" borderId="7" xfId="0" applyNumberFormat="1" applyFont="1" applyBorder="1"/>
    <xf numFmtId="49" fontId="8" fillId="0" borderId="2" xfId="0" applyNumberFormat="1" applyFont="1" applyBorder="1"/>
    <xf numFmtId="0" fontId="18" fillId="0" borderId="0" xfId="0" applyFont="1"/>
    <xf numFmtId="164" fontId="18" fillId="0" borderId="0" xfId="0" applyNumberFormat="1" applyFont="1"/>
    <xf numFmtId="43" fontId="18" fillId="0" borderId="0" xfId="1" applyFont="1" applyFill="1"/>
    <xf numFmtId="43" fontId="18" fillId="0" borderId="0" xfId="1" applyFont="1" applyFill="1" applyAlignment="1">
      <alignment horizontal="center"/>
    </xf>
    <xf numFmtId="164" fontId="18" fillId="0" borderId="25" xfId="0" applyNumberFormat="1" applyFont="1" applyBorder="1"/>
    <xf numFmtId="166" fontId="8" fillId="0" borderId="25" xfId="1" applyNumberFormat="1" applyFont="1" applyFill="1" applyBorder="1"/>
    <xf numFmtId="164" fontId="18" fillId="0" borderId="26" xfId="0" applyNumberFormat="1" applyFont="1" applyBorder="1" applyAlignment="1">
      <alignment horizontal="left"/>
    </xf>
    <xf numFmtId="49" fontId="18" fillId="0" borderId="0" xfId="0" applyNumberFormat="1" applyFont="1"/>
    <xf numFmtId="164" fontId="18" fillId="0" borderId="0" xfId="0" applyNumberFormat="1" applyFont="1" applyAlignment="1">
      <alignment horizontal="left"/>
    </xf>
    <xf numFmtId="166" fontId="8" fillId="0" borderId="26" xfId="1" applyNumberFormat="1" applyFont="1" applyFill="1" applyBorder="1"/>
    <xf numFmtId="164" fontId="18" fillId="0" borderId="26" xfId="0" applyNumberFormat="1" applyFont="1" applyBorder="1"/>
    <xf numFmtId="0" fontId="14" fillId="0" borderId="26" xfId="0" applyFont="1" applyBorder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166" fontId="8" fillId="0" borderId="26" xfId="1" applyNumberFormat="1" applyFont="1" applyFill="1" applyBorder="1" applyAlignment="1">
      <alignment horizontal="center"/>
    </xf>
    <xf numFmtId="49" fontId="8" fillId="0" borderId="26" xfId="0" applyNumberFormat="1" applyFont="1" applyBorder="1" applyAlignment="1">
      <alignment horizontal="center"/>
    </xf>
    <xf numFmtId="0" fontId="8" fillId="0" borderId="26" xfId="0" applyFont="1" applyBorder="1"/>
    <xf numFmtId="0" fontId="8" fillId="0" borderId="26" xfId="0" applyFont="1" applyBorder="1" applyAlignment="1">
      <alignment horizontal="center"/>
    </xf>
    <xf numFmtId="2" fontId="8" fillId="0" borderId="26" xfId="0" applyNumberFormat="1" applyFont="1" applyBorder="1" applyAlignment="1">
      <alignment horizontal="center"/>
    </xf>
  </cellXfs>
  <cellStyles count="5">
    <cellStyle name="Hipervínculo" xfId="3" builtinId="8"/>
    <cellStyle name="Hyperlink" xfId="4" xr:uid="{00000000-000B-0000-0000-000008000000}"/>
    <cellStyle name="Millares" xfId="1" builtinId="3"/>
    <cellStyle name="Millares [0]" xfId="2" builtinId="6"/>
    <cellStyle name="Normal" xfId="0" builtinId="0"/>
  </cellStyles>
  <dxfs count="55"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  <border diagonalUp="0" diagonalDown="0">
        <left style="thick">
          <color rgb="FF00206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rgb="FF002060"/>
        </left>
        <right/>
        <top/>
        <bottom/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rgb="FF00206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_-;\-* #,##0_-;_-* &quot;-&quot;??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rgb="FF00206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0" formatCode="d\-mmm\-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152975</xdr:colOff>
      <xdr:row>2</xdr:row>
      <xdr:rowOff>53187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D0ED110-11EF-447E-B3F6-37E99F469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693606" cy="434187"/>
        </a:xfrm>
        <a:prstGeom prst="rect">
          <a:avLst/>
        </a:prstGeom>
      </xdr:spPr>
    </xdr:pic>
    <xdr:clientData/>
  </xdr:twoCellAnchor>
  <xdr:twoCellAnchor>
    <xdr:from>
      <xdr:col>10</xdr:col>
      <xdr:colOff>891267</xdr:colOff>
      <xdr:row>0</xdr:row>
      <xdr:rowOff>184074</xdr:rowOff>
    </xdr:from>
    <xdr:to>
      <xdr:col>10</xdr:col>
      <xdr:colOff>2695803</xdr:colOff>
      <xdr:row>3</xdr:row>
      <xdr:rowOff>152574</xdr:rowOff>
    </xdr:to>
    <xdr:sp macro="[0]!BBVASOLE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E70F11-8CAE-4B97-8A6D-6C0620B099C2}"/>
            </a:ext>
            <a:ext uri="{147F2762-F138-4A5C-976F-8EAC2B608ADB}">
              <a16:predDERef xmlns:a16="http://schemas.microsoft.com/office/drawing/2014/main" pred="{8D0ED110-11EF-447E-B3F6-37E99F46922A}"/>
            </a:ext>
          </a:extLst>
        </xdr:cNvPr>
        <xdr:cNvSpPr/>
      </xdr:nvSpPr>
      <xdr:spPr>
        <a:xfrm>
          <a:off x="16178892" y="184074"/>
          <a:ext cx="1804536" cy="540000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0"/>
            <a:t>MACRO SOLES</a:t>
          </a:r>
        </a:p>
      </xdr:txBody>
    </xdr:sp>
    <xdr:clientData/>
  </xdr:twoCellAnchor>
  <xdr:twoCellAnchor>
    <xdr:from>
      <xdr:col>8</xdr:col>
      <xdr:colOff>962325</xdr:colOff>
      <xdr:row>0</xdr:row>
      <xdr:rowOff>184074</xdr:rowOff>
    </xdr:from>
    <xdr:to>
      <xdr:col>9</xdr:col>
      <xdr:colOff>686300</xdr:colOff>
      <xdr:row>3</xdr:row>
      <xdr:rowOff>152574</xdr:rowOff>
    </xdr:to>
    <xdr:sp macro="[0]!BBVADOLAR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01547DA-FA03-1CEB-0EBC-00C662A3B0C0}"/>
            </a:ext>
          </a:extLst>
        </xdr:cNvPr>
        <xdr:cNvSpPr/>
      </xdr:nvSpPr>
      <xdr:spPr>
        <a:xfrm>
          <a:off x="16821450" y="184074"/>
          <a:ext cx="1803600" cy="540000"/>
        </a:xfrm>
        <a:prstGeom prst="roundRect">
          <a:avLst/>
        </a:prstGeom>
        <a:ln>
          <a:solidFill>
            <a:srgbClr val="00B050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0"/>
            <a:t>MACRO DOLARES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FAEL MARTIN LANDAURO CARRASCO" id="{4E02419B-4670-4EC5-B1C0-9DAE44D6CFD0}" userId="S::rafael.landauro@uma.edu.pe::f4208920-d10c-4887-a8e6-29e006db2acd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 PC" refreshedDate="46217.453779166666" createdVersion="7" refreshedVersion="8" minRefreshableVersion="3" recordCount="92" xr:uid="{35763A40-4268-4C89-AE38-C8FA574A30A9}">
  <cacheSource type="worksheet">
    <worksheetSource name="Tabla3"/>
  </cacheSource>
  <cacheFields count="26">
    <cacheField name="ID" numFmtId="0">
      <sharedItems containsString="0" containsBlank="1" containsNumber="1" containsInteger="1" minValue="1" maxValue="85" count="8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m/>
      </sharedItems>
    </cacheField>
    <cacheField name="FECHA DE RECEPCIÓN" numFmtId="15">
      <sharedItems containsNonDate="0" containsDate="1" containsString="0" containsBlank="1" minDate="2026-05-26T00:00:00" maxDate="2029-07-02T00:00:00"/>
    </cacheField>
    <cacheField name="FECHA DOCUMENTO" numFmtId="15">
      <sharedItems containsNonDate="0" containsDate="1" containsString="0" containsBlank="1" minDate="2006-06-16T00:00:00" maxDate="2026-07-10T00:00:00"/>
    </cacheField>
    <cacheField name="CENTRO DE COSTOS" numFmtId="0">
      <sharedItems containsBlank="1"/>
    </cacheField>
    <cacheField name="CORREO USUARIO SOLICITANTE" numFmtId="0">
      <sharedItems containsBlank="1"/>
    </cacheField>
    <cacheField name="TIPO DOI" numFmtId="0">
      <sharedItems containsBlank="1"/>
    </cacheField>
    <cacheField name="NRO. DOI" numFmtId="0">
      <sharedItems containsBlank="1"/>
    </cacheField>
    <cacheField name="PROVEEDOR" numFmtId="0">
      <sharedItems/>
    </cacheField>
    <cacheField name="TIPO DOCUMENTO" numFmtId="0">
      <sharedItems containsBlank="1"/>
    </cacheField>
    <cacheField name="NRO. DOCUMENTO" numFmtId="49">
      <sharedItems containsBlank="1"/>
    </cacheField>
    <cacheField name="LINK DE DOCUMENTO" numFmtId="0">
      <sharedItems containsBlank="1"/>
    </cacheField>
    <cacheField name="DESCRIPCIÓN" numFmtId="0">
      <sharedItems containsBlank="1"/>
    </cacheField>
    <cacheField name="TIPO DE BIEN O SERVICIO" numFmtId="0">
      <sharedItems containsBlank="1"/>
    </cacheField>
    <cacheField name="TIPO DE ABONO" numFmtId="0">
      <sharedItems/>
    </cacheField>
    <cacheField name="NRO. CUENTA" numFmtId="0">
      <sharedItems/>
    </cacheField>
    <cacheField name="MONEDA" numFmtId="0">
      <sharedItems containsBlank="1" count="3">
        <s v="SOLES"/>
        <s v="DOLARES"/>
        <m/>
      </sharedItems>
    </cacheField>
    <cacheField name="TIPO DE CAMBIO" numFmtId="0">
      <sharedItems containsString="0" containsBlank="1" containsNumber="1" minValue="3.5" maxValue="3.5"/>
    </cacheField>
    <cacheField name="MONTO BRUTO" numFmtId="43">
      <sharedItems containsString="0" containsBlank="1" containsNumber="1" minValue="17.3" maxValue="60427.8"/>
    </cacheField>
    <cacheField name="MONTO BRUTO USD-SOLES" numFmtId="43">
      <sharedItems containsSemiMixedTypes="0" containsString="0" containsNumber="1" minValue="0" maxValue="39375"/>
    </cacheField>
    <cacheField name="DETRACCION" numFmtId="43">
      <sharedItems containsString="0" containsBlank="1" containsNumber="1" containsInteger="1" minValue="0" maxValue="6043"/>
    </cacheField>
    <cacheField name="MONTO NETO A PAGAR" numFmtId="43">
      <sharedItems containsSemiMixedTypes="0" containsString="0" containsNumber="1" minValue="0" maxValue="54384.800000000003"/>
    </cacheField>
    <cacheField name="ESTADO DEL REQUERIMIENTO" numFmtId="0">
      <sharedItems containsBlank="1" count="5">
        <s v="PAGADO"/>
        <s v="APROBADO"/>
        <s v="APROBADO INDIVIDUAL"/>
        <m/>
        <s v="APROBADO POR PAGAR" u="1"/>
      </sharedItems>
    </cacheField>
    <cacheField name="FECHA DE PAGO" numFmtId="15">
      <sharedItems containsNonDate="0" containsDate="1" containsString="0" containsBlank="1" minDate="2026-07-01T00:00:00" maxDate="2026-07-10T00:00:00"/>
    </cacheField>
    <cacheField name="MONTO PAGADO" numFmtId="43">
      <sharedItems containsSemiMixedTypes="0" containsString="0" containsNumber="1" minValue="0" maxValue="54384.800000000003"/>
    </cacheField>
    <cacheField name="SALDO POR PAGAR" numFmtId="43">
      <sharedItems containsSemiMixedTypes="0" containsString="0" containsNumber="1" containsInteger="1" minValue="0" maxValue="0"/>
    </cacheField>
    <cacheField name="TIPO DE PAGO" numFmtId="43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x v="0"/>
    <d v="2026-06-15T00:00:00"/>
    <d v="2026-06-13T00:00:00"/>
    <s v="GERENCIA DE OPERACIONES"/>
    <s v="RAFAEL.LANDAURO@UMA.EDU.PE"/>
    <s v="RUC"/>
    <s v="20602501711"/>
    <s v="LINE OF DESIGN S.A.C."/>
    <s v="FACTURA"/>
    <s v="E001-308"/>
    <m/>
    <s v="MESA PARA OFICINA DE SAN BORJA - GERENCIA"/>
    <s v="COMPRA DE REACTIVOS"/>
    <s v="OTRO BANCO"/>
    <s v="00219400988835608199"/>
    <x v="0"/>
    <m/>
    <n v="2700"/>
    <n v="0"/>
    <n v="0"/>
    <n v="2700"/>
    <x v="0"/>
    <m/>
    <n v="2700"/>
    <n v="0"/>
    <s v="TOTAL"/>
  </r>
  <r>
    <x v="1"/>
    <d v="2026-05-26T00:00:00"/>
    <d v="2026-05-26T00:00:00"/>
    <s v="GERENCIA DE OPERACIONES"/>
    <s v="RAFAEL.LANDAURO@UMA.EDU.PE"/>
    <s v="RUC"/>
    <s v="20610253807"/>
    <s v="CLYDE PUBLICIDAD S.A.C."/>
    <s v="FACTURA"/>
    <s v="E001-16"/>
    <m/>
    <s v="ALQUILER E IMPRESIÓN PARA NUEVO PANEL PUBLICITARIO - MAYO"/>
    <s v="COMPRA DE REACTIVOS"/>
    <s v="OTRO BANCO"/>
    <s v="00219300713694516113"/>
    <x v="1"/>
    <n v="3.5"/>
    <n v="1652"/>
    <n v="5782"/>
    <n v="0"/>
    <n v="1652"/>
    <x v="1"/>
    <m/>
    <n v="1652"/>
    <n v="0"/>
    <s v="TOTAL"/>
  </r>
  <r>
    <x v="2"/>
    <d v="2026-06-06T00:00:00"/>
    <d v="2026-06-03T00:00:00"/>
    <s v="GERENCIA DE OPERACIONES"/>
    <s v="RAFAEL.LANDAURO@UMA.EDU.PE"/>
    <s v="RUC"/>
    <s v="20139491077"/>
    <s v="ASOCIACIÓN DE BANCOS DEL PERÚ"/>
    <s v="FACTURA"/>
    <s v="F001-80095"/>
    <m/>
    <s v="SERVICIO YAPAGO CLOUD - JUNIO"/>
    <s v="CONSULTORÍA TRIBUTARIA"/>
    <s v="OTRO BANCO"/>
    <s v="00219100101694710059"/>
    <x v="1"/>
    <n v="3.5"/>
    <n v="1357"/>
    <n v="4749.5"/>
    <n v="163"/>
    <n v="1194"/>
    <x v="0"/>
    <m/>
    <n v="1194"/>
    <n v="0"/>
    <s v="TOTAL"/>
  </r>
  <r>
    <x v="3"/>
    <d v="2026-06-09T00:00:00"/>
    <d v="2026-06-09T00:00:00"/>
    <s v="GERENCIA DE OPERACIONES"/>
    <s v="RAFAEL.LANDAURO@UMA.EDU.PE"/>
    <s v="RUC"/>
    <s v="20451716124"/>
    <s v="VIRTUAL INTERNET SOLUTIONS S.A.C."/>
    <s v="FACTURA"/>
    <s v="E001-2273"/>
    <m/>
    <s v="RENOVACIÓN HOSTING DE DOMINIO"/>
    <s v="HOSTING Y SERVICIOS TECNOLÓGICOS"/>
    <s v="OTRO BANCO"/>
    <s v="00219300191857605413"/>
    <x v="0"/>
    <m/>
    <n v="739"/>
    <n v="0"/>
    <n v="89"/>
    <n v="650"/>
    <x v="0"/>
    <m/>
    <n v="650"/>
    <n v="0"/>
    <s v="TOTAL"/>
  </r>
  <r>
    <x v="4"/>
    <d v="2026-06-12T00:00:00"/>
    <d v="2026-06-12T00:00:00"/>
    <s v="GERENCIA DE OPERACIONES"/>
    <s v="RAFAEL.LANDAURO@UMA.EDU.PE"/>
    <s v="RUC"/>
    <s v="10400912829"/>
    <s v="MORE IMAN HUGO"/>
    <s v="FACTURA"/>
    <s v="E001-509"/>
    <m/>
    <s v="CPSERVICIO DE SUMINISTRO FABRICACION Y PINTADO AL HORNO DE MESAS CANADIENSES."/>
    <s v="CONSULTORÍA TRIBUTARIA"/>
    <s v="OTRO BANCO"/>
    <s v="00219311887695002412"/>
    <x v="0"/>
    <m/>
    <n v="3091.6"/>
    <n v="0"/>
    <n v="371"/>
    <n v="2720.6"/>
    <x v="2"/>
    <m/>
    <n v="2720.6"/>
    <n v="0"/>
    <s v="TOTAL"/>
  </r>
  <r>
    <x v="5"/>
    <d v="2026-06-12T00:00:00"/>
    <d v="2026-06-12T00:00:00"/>
    <s v="GERENCIA DE OPERACIONES"/>
    <s v="RAFAEL.LANDAURO@UMA.EDU.PE"/>
    <s v="RUC"/>
    <s v="20571136181"/>
    <s v="VAYA VALLA PUBLICIDAD EXTERIOR S.R.L."/>
    <s v="FACTURA"/>
    <s v="E001-766"/>
    <m/>
    <s v="ESPACIO PUBLICITARIO EN VALLA DE TERMINAL TERRESTRE DE HUACHO"/>
    <s v="PUBLICIDAD Y MARKETING"/>
    <s v="CONTINENTAL"/>
    <s v="00110654000200011798"/>
    <x v="0"/>
    <m/>
    <n v="2500"/>
    <n v="0"/>
    <n v="300"/>
    <n v="2200"/>
    <x v="0"/>
    <m/>
    <n v="2200"/>
    <n v="0"/>
    <s v="TOTAL"/>
  </r>
  <r>
    <x v="6"/>
    <d v="2026-06-12T00:00:00"/>
    <d v="2026-06-12T00:00:00"/>
    <s v="GERENCIA DE OPERACIONES"/>
    <s v="RAFAEL.LANDAURO@UMA.EDU.PE"/>
    <s v="RUC"/>
    <s v="20550807123"/>
    <s v="UNIVERSIDAD MARIA AUXILIADORA S.A.C."/>
    <s v="REEMBOLSO"/>
    <s v="PRUEBA"/>
    <m/>
    <s v="POR TRANSFERENCIA A LA CUENTA DE INTERBANK DE LA UMA."/>
    <s v="SERVICIOS NO CLASIFICADOS AFECTOS A IGV"/>
    <s v="CONTINENTAL"/>
    <s v="00110436000200000324"/>
    <x v="0"/>
    <m/>
    <n v="50"/>
    <n v="0"/>
    <n v="0"/>
    <n v="50"/>
    <x v="0"/>
    <m/>
    <n v="50"/>
    <n v="0"/>
    <s v="TOTAL"/>
  </r>
  <r>
    <x v="7"/>
    <d v="2026-06-15T00:00:00"/>
    <d v="2026-06-15T00:00:00"/>
    <s v="GERENCIA DE OPERACIONES"/>
    <s v="RAFAEL.LANDAURO@UMA.EDU.PE"/>
    <s v="DNI O L.E."/>
    <s v="74082631"/>
    <s v="YOMIRA LAURA POLO LAVADO"/>
    <s v="REEMBOLSO"/>
    <s v="DEVOLUCIÓN"/>
    <m/>
    <s v="DEVOLUCIÓN POR FALTA DE MATRÍCULA"/>
    <s v="SERVICIOS NO CLASIFICADOS AFECTOS A IGV"/>
    <s v="OTRO BANCO"/>
    <s v="00219119471474005258"/>
    <x v="0"/>
    <m/>
    <n v="290"/>
    <n v="0"/>
    <n v="0"/>
    <n v="290"/>
    <x v="0"/>
    <m/>
    <n v="290"/>
    <n v="0"/>
    <s v="TOTAL"/>
  </r>
  <r>
    <x v="8"/>
    <d v="2026-06-15T00:00:00"/>
    <d v="2026-06-15T00:00:00"/>
    <s v="GERENCIA DE OPERACIONES"/>
    <s v="RAFAEL.LANDAURO@UMA.EDU.PE"/>
    <s v="RUC"/>
    <s v="10199380724"/>
    <s v="ROSADO DE LA CRUZ ROSSI MARILU"/>
    <s v="FACTURA"/>
    <s v="E001-697"/>
    <m/>
    <s v="ADELANTO POR MEDALLAS - GYT"/>
    <s v="COMPRA DE MATERIALES EDUCATIVOS"/>
    <s v="OTRO BANCO"/>
    <s v="00219110430344301155"/>
    <x v="0"/>
    <m/>
    <n v="3900"/>
    <n v="0"/>
    <n v="0"/>
    <n v="3900"/>
    <x v="0"/>
    <m/>
    <n v="3900"/>
    <n v="0"/>
    <s v="TOTAL"/>
  </r>
  <r>
    <x v="9"/>
    <d v="2026-06-16T00:00:00"/>
    <d v="2006-06-16T00:00:00"/>
    <s v="GERENCIA DE OPERACIONES"/>
    <s v="RAFAEL.LANDAURO@UMA.EDU.PE"/>
    <s v="RUC"/>
    <s v="20513523352"/>
    <s v="LATINUM GROUP S.A.C"/>
    <s v="FACTURA"/>
    <s v="E001-135"/>
    <s v="E001-135.PDF"/>
    <s v="ALQUILER LOCAL EUCALIPTOS - CANTO BELLO"/>
    <s v="ALQUILER DE INMUEBLES"/>
    <s v="CONTINENTAL"/>
    <s v="00110360000100019823"/>
    <x v="0"/>
    <m/>
    <n v="60427.8"/>
    <n v="0"/>
    <n v="6043"/>
    <n v="54384.800000000003"/>
    <x v="0"/>
    <d v="2026-07-01T00:00:00"/>
    <n v="54384.800000000003"/>
    <n v="0"/>
    <s v="TOTAL"/>
  </r>
  <r>
    <x v="10"/>
    <d v="2026-06-17T00:00:00"/>
    <d v="2026-06-12T00:00:00"/>
    <s v="GERENCIA DE OPERACIONES"/>
    <s v="RAFAEL.LANDAURO@UMA.EDU.PE"/>
    <s v="RUC"/>
    <s v="10441671518"/>
    <s v="BRAVO ESPINOZA NANCY GLADYS"/>
    <s v="FACTURA"/>
    <s v="E001-154"/>
    <s v="PDF-DOC-E001-15410441671518.PDF"/>
    <s v="IMPRESIONES Y COPIAS VARIOS "/>
    <s v="COMPRA DE ÚTILES DE OFICINA"/>
    <s v="OTRO BANCO"/>
    <s v="00988520885018826258"/>
    <x v="0"/>
    <m/>
    <n v="558.9"/>
    <n v="0"/>
    <n v="0"/>
    <n v="558.9"/>
    <x v="0"/>
    <d v="2026-07-01T00:00:00"/>
    <n v="558.9"/>
    <n v="0"/>
    <s v="TOTAL"/>
  </r>
  <r>
    <x v="11"/>
    <d v="2026-06-17T00:00:00"/>
    <d v="2026-06-12T00:00:00"/>
    <s v="GERENCIA DE OPERACIONES"/>
    <s v="RAFAEL.LANDAURO@UMA.EDU.PE"/>
    <s v="RUC"/>
    <s v="10441671518"/>
    <s v="BRAVO ESPINOZA NANCY GLADYS"/>
    <s v="FACTURA"/>
    <s v="E001-155"/>
    <s v="PDF-DOC-E001-15510441671518.PDF"/>
    <s v="IMPRESIONES Y COPIAS VARIOS "/>
    <s v="COMPRA DE ÚTILES DE OFICINA"/>
    <s v="OTRO BANCO"/>
    <s v="00988520885018826258"/>
    <x v="0"/>
    <m/>
    <n v="478.7"/>
    <n v="0"/>
    <n v="0"/>
    <n v="478.7"/>
    <x v="2"/>
    <d v="2026-07-01T00:00:00"/>
    <n v="478.7"/>
    <n v="0"/>
    <s v="TOTAL"/>
  </r>
  <r>
    <x v="12"/>
    <d v="2026-06-17T00:00:00"/>
    <d v="2026-06-12T00:00:00"/>
    <s v="GERENCIA DE OPERACIONES"/>
    <s v="RAFAEL.LANDAURO@UMA.EDU.PE"/>
    <s v="RUC"/>
    <s v="10441671518"/>
    <s v="BRAVO ESPINOZA NANCY GLADYS"/>
    <s v="FACTURA"/>
    <s v="E001-156"/>
    <s v="PDF-DOC-E001-15610441671518.PDF"/>
    <s v="IMPRESIONES Y COPIAS VARIOS "/>
    <s v="COMPRA DE ÚTILES DE OFICINA"/>
    <s v="OTRO BANCO"/>
    <s v="00988520885018826258"/>
    <x v="0"/>
    <m/>
    <n v="550.79999999999995"/>
    <n v="0"/>
    <n v="0"/>
    <n v="550.79999999999995"/>
    <x v="0"/>
    <d v="2026-07-01T00:00:00"/>
    <n v="550.79999999999995"/>
    <n v="0"/>
    <s v="TOTAL"/>
  </r>
  <r>
    <x v="13"/>
    <d v="2026-07-18T00:00:00"/>
    <d v="2026-06-17T00:00:00"/>
    <s v="GERENCIA DE OPERACIONES"/>
    <s v="RAFAEL.LANDAURO@UMA.EDU.PE"/>
    <s v="RUC"/>
    <s v="20600814843"/>
    <s v="IMPRESIONES FUENTES S.A.C."/>
    <s v="FACTURA"/>
    <s v="E001-900 "/>
    <s v="PDF-DOC-E001-90020600814843.PDF"/>
    <s v="COMPRA DE 04 ROLL SCREENS"/>
    <s v="PUBLICIDAD Y MARKETING"/>
    <s v="OTRO BANCO"/>
    <s v="00320000300443668531"/>
    <x v="0"/>
    <m/>
    <n v="560"/>
    <n v="0"/>
    <n v="0"/>
    <n v="560"/>
    <x v="0"/>
    <d v="2026-07-01T00:00:00"/>
    <n v="560"/>
    <n v="0"/>
    <s v="TOTAL"/>
  </r>
  <r>
    <x v="14"/>
    <d v="2026-06-19T00:00:00"/>
    <d v="2026-06-18T00:00:00"/>
    <s v="GERENCIA DE OPERACIONES"/>
    <s v="RAFAEL.LANDAURO@UMA.EDU.PE"/>
    <s v="DNI O L.E."/>
    <s v="42897396"/>
    <s v="LUYO PACHAS LUIS RONALD"/>
    <s v="GASTO SIN SUSTENTO (DJ)"/>
    <s v="001-2026"/>
    <s v="LUIS LUYO_GASTOS SIN SUST..DOCX"/>
    <s v="GASTO SIN SUSTENTO UMA - FERIA UMA - CAMPOY S.J.L - RESPONSABILIDAD SOCIAL"/>
    <s v="SERVICIOS NO CLASIFICADOS AFECTOS A IGV"/>
    <s v="CONTINENTAL"/>
    <s v="00110057000238379904"/>
    <x v="0"/>
    <m/>
    <n v="51.8"/>
    <n v="0"/>
    <n v="0"/>
    <n v="51.8"/>
    <x v="0"/>
    <d v="2026-07-01T00:00:00"/>
    <n v="51.8"/>
    <n v="0"/>
    <s v="TOTAL"/>
  </r>
  <r>
    <x v="15"/>
    <d v="2026-06-19T00:00:00"/>
    <d v="2026-06-18T00:00:00"/>
    <s v="GERENCIA DE OPERACIONES"/>
    <s v="RAFAEL.LANDAURO@UMA.EDU.PE"/>
    <s v="RUC"/>
    <s v="20600649842"/>
    <s v="IMMERSE S.A.C."/>
    <s v="FACTURA"/>
    <s v="E001-2221 "/>
    <s v="2026-06 - FE001-2221 - UMA UNIVERSIDAD MARIA AUXILIADORA - PLATAFORMA CHATTIGO - PERIODO JUNIO 2026.PDF"/>
    <s v="MANTENIMIENTO PLATAFORMA CHATTIGO - JUNIO 2026"/>
    <s v="HOSTING Y SERVICIOS TECNOLÓGICOS"/>
    <s v="CONTINENTAL"/>
    <s v="00110791000200180226"/>
    <x v="1"/>
    <n v="3.5"/>
    <n v="2499.37"/>
    <n v="8747.7950000000001"/>
    <n v="300"/>
    <n v="2199.37"/>
    <x v="2"/>
    <d v="2026-07-01T00:00:00"/>
    <n v="2199.37"/>
    <n v="0"/>
    <s v="TOTAL"/>
  </r>
  <r>
    <x v="16"/>
    <d v="2026-06-19T00:00:00"/>
    <d v="2026-06-18T00:00:00"/>
    <s v="GERENCIA DE OPERACIONES"/>
    <s v="RAFAEL.LANDAURO@UMA.EDU.PE"/>
    <s v="RUC"/>
    <s v="20330247038"/>
    <s v="TALLERES GRAFICOS GIMAVIC SRLTDA"/>
    <s v="FACTURA"/>
    <s v="E001-444"/>
    <s v="PDF-DOC-E001-44420330247038.PDF"/>
    <s v="VOLANTES PARA SEGUNDAS ESPECIALIDAD EN ENFERMERÍA"/>
    <s v="PUBLICIDAD Y MARKETING"/>
    <s v="CONTINENTAL"/>
    <s v="00110353000100043777"/>
    <x v="0"/>
    <m/>
    <n v="1852.6"/>
    <n v="0"/>
    <n v="222"/>
    <n v="1630.6"/>
    <x v="0"/>
    <d v="2026-07-01T00:00:00"/>
    <n v="1630.6"/>
    <n v="0"/>
    <s v="TOTAL"/>
  </r>
  <r>
    <x v="17"/>
    <d v="2026-06-22T00:00:00"/>
    <d v="2026-06-22T00:00:00"/>
    <s v="GERENCIA DE OPERACIONES"/>
    <s v="RAFAEL.LANDAURO@UMA.EDU.PE"/>
    <s v="RUC"/>
    <s v="20523401956"/>
    <s v="CORPORACION LOAYZA S.A.C."/>
    <s v="FACTURA"/>
    <s v="FF01-2853"/>
    <s v="FF01-2853.PDF"/>
    <s v=" MATERIALES PARA EL MANTENIMIENTO DEL MES DE JUNIO."/>
    <s v="COMPRA DE BIENES COMUNES"/>
    <s v="CONTINENTAL"/>
    <s v="00110322000100023998"/>
    <x v="0"/>
    <m/>
    <n v="1729.1"/>
    <n v="0"/>
    <n v="0"/>
    <n v="1729.1"/>
    <x v="0"/>
    <d v="2026-07-01T00:00:00"/>
    <n v="1729.1"/>
    <n v="0"/>
    <s v="TOTAL"/>
  </r>
  <r>
    <x v="18"/>
    <d v="2026-06-23T00:00:00"/>
    <d v="2026-06-28T00:00:00"/>
    <s v="GERENCIA DE OPERACIONES"/>
    <s v="RAFAEL.LANDAURO@UMA.EDU.PE"/>
    <s v="RUC"/>
    <s v="20552555806"/>
    <s v="BAFER ENERGY ECONOMIC SAC"/>
    <s v="COTIZACIÓN "/>
    <s v="2078-2026"/>
    <s v="PEDIDO 2078-2026-MMTT GLP_SJL.PDF"/>
    <s v="ADELANTO MANTENIMIENTO DE LÍNEAS DE GAS"/>
    <s v="MANTENIMIENTO DE EQUIPOS DE LABORATORIO"/>
    <s v="CONTINENTAL"/>
    <s v="00110102000100066704"/>
    <x v="0"/>
    <m/>
    <n v="906.24"/>
    <n v="0"/>
    <n v="109"/>
    <n v="797.24"/>
    <x v="0"/>
    <d v="2026-07-01T00:00:00"/>
    <n v="797.24"/>
    <n v="0"/>
    <s v="TOTAL"/>
  </r>
  <r>
    <x v="19"/>
    <d v="2026-06-23T00:00:00"/>
    <d v="2026-06-19T00:00:00"/>
    <s v="GERENCIA DE OPERACIONES"/>
    <s v="RAFAEL.LANDAURO@UMA.EDU.PE"/>
    <s v="RUC"/>
    <s v="20603046570"/>
    <s v="QUIMICA MULTIPLE INDUSTRIAL E.I.R.L."/>
    <s v="COTIZACIÓN "/>
    <s v="IND-026681"/>
    <s v="IND-026681.PDF"/>
    <s v="EQUIPAMIENTO EN LOS LABORATORIOS - FYB"/>
    <s v="COMPRA DE EQUIPOS DE LABORATORIO"/>
    <s v="CONTINENTAL"/>
    <s v="00110316000200761322"/>
    <x v="0"/>
    <m/>
    <n v="1295"/>
    <n v="0"/>
    <n v="0"/>
    <n v="1295"/>
    <x v="0"/>
    <d v="2026-07-01T00:00:00"/>
    <n v="1295"/>
    <n v="0"/>
    <s v="TOTAL"/>
  </r>
  <r>
    <x v="20"/>
    <d v="2026-06-23T00:00:00"/>
    <d v="2026-06-16T00:00:00"/>
    <s v="GERENCIA DE OPERACIONES"/>
    <s v="RAFAEL.LANDAURO@UMA.EDU.PE"/>
    <s v="RUC"/>
    <s v="20603046570"/>
    <s v="QUIMICA MULTIPLE INDUSTRIAL E.I.R.L."/>
    <s v="COTIZACIÓN "/>
    <s v="IND-026647"/>
    <s v="IND-026647.PDF"/>
    <s v="EQUIPAMIENTO EN LOS LABORATORIOS - FYB"/>
    <s v="COMPRA DE EQUIPOS DE LABORATORIO"/>
    <s v="CONTINENTAL"/>
    <s v="00110316000200761322"/>
    <x v="0"/>
    <m/>
    <n v="3725"/>
    <n v="0"/>
    <n v="0"/>
    <n v="3725"/>
    <x v="0"/>
    <d v="2026-07-01T00:00:00"/>
    <n v="3725"/>
    <n v="0"/>
    <s v="TOTAL"/>
  </r>
  <r>
    <x v="21"/>
    <d v="2026-06-23T00:00:00"/>
    <d v="2026-07-01T00:00:00"/>
    <s v="GERENCIA DE OPERACIONES"/>
    <s v="RAFAEL.LANDAURO@UMA.EDU.PE"/>
    <s v="DNI O L.E."/>
    <s v="42793231"/>
    <s v="TAFUR DURAND ERIKA"/>
    <s v="COTIZACIÓN "/>
    <s v="ADELANTO"/>
    <s v="ADQUISICIÓN DE ESTOLAS.PDF"/>
    <s v=" ADQUISICIÓN  DE ESTOLAS - GYT"/>
    <s v="COMPRA DE BIENES COMUNES"/>
    <s v="CONTINENTAL"/>
    <s v="00110814000206329403"/>
    <x v="0"/>
    <m/>
    <n v="1925"/>
    <n v="0"/>
    <n v="0"/>
    <n v="1925"/>
    <x v="0"/>
    <d v="2026-07-01T00:00:00"/>
    <n v="1925"/>
    <n v="0"/>
    <s v="TOTAL"/>
  </r>
  <r>
    <x v="22"/>
    <d v="2026-06-22T00:00:00"/>
    <d v="2026-06-22T00:00:00"/>
    <s v="GERENCIA DE OPERACIONES"/>
    <s v="RAFAEL.LANDAURO@UMA.EDU.PE"/>
    <s v="RUC"/>
    <s v="10074819929"/>
    <s v="MORA CHERO RICARDO"/>
    <s v="COTIZACIÓN "/>
    <s v="ADELANTO"/>
    <s v="10074819929-MORA CHERO RICARDO.PDF"/>
    <s v="COMPRA DE TAPAJUNTAS Y REPISAS PARA LOS LABORATORIOS"/>
    <s v="COMPRA DE EQUIPOS DE LABORATORIO"/>
    <s v="OTRO BANCO"/>
    <s v="00219117760935908955"/>
    <x v="0"/>
    <m/>
    <n v="1820"/>
    <n v="0"/>
    <n v="0"/>
    <n v="1820"/>
    <x v="0"/>
    <d v="2026-07-01T00:00:00"/>
    <n v="1820"/>
    <n v="0"/>
    <s v="TOTAL"/>
  </r>
  <r>
    <x v="23"/>
    <d v="2026-06-23T00:00:00"/>
    <d v="2026-06-09T00:00:00"/>
    <s v="GERENCIA DE OPERACIONES"/>
    <s v="RAFAEL.LANDAURO@UMA.EDU.PE"/>
    <s v="RUC"/>
    <s v="20552504641"/>
    <s v="WIN EMPRESAS SAC"/>
    <s v="BOLETA"/>
    <s v="S001-551502"/>
    <s v="20550807123_S001_00551502.PDF"/>
    <s v="01-05-2026 - 31-05-2026  ALQUILER DE EQUIPOS - RENTA MENSUAL"/>
    <s v="ALQUILER DE BIENES  (MUEBLES)"/>
    <s v="OTRO BANCO"/>
    <s v="00219400212888508794"/>
    <x v="0"/>
    <m/>
    <n v="2702.2"/>
    <n v="0"/>
    <n v="270"/>
    <n v="2432.1999999999998"/>
    <x v="0"/>
    <d v="2026-07-01T00:00:00"/>
    <n v="2432.1999999999998"/>
    <n v="0"/>
    <s v="TOTAL"/>
  </r>
  <r>
    <x v="24"/>
    <d v="2026-06-23T00:00:00"/>
    <d v="2026-05-31T00:00:00"/>
    <s v="GERENCIA DE OPERACIONES"/>
    <s v="RAFAEL.LANDAURO@UMA.EDU.PE"/>
    <s v="RUC"/>
    <s v="20265681299"/>
    <s v="EQUIFAX PERU SAC"/>
    <s v="FACTURA"/>
    <s v="F001-01153401"/>
    <s v="20265681299-EQUIFAX PERU SAC.PDF"/>
    <s v="SERVICIOS DE COBRANZA BLANCA MAY. 26"/>
    <s v="SERVICIOS EMPRESARIALES"/>
    <s v="OTRO BANCO"/>
    <s v="00219400211742109092"/>
    <x v="0"/>
    <m/>
    <n v="577.02"/>
    <n v="0"/>
    <n v="0"/>
    <n v="577.02"/>
    <x v="0"/>
    <d v="2026-07-01T00:00:00"/>
    <n v="577.02"/>
    <n v="0"/>
    <s v="TOTAL"/>
  </r>
  <r>
    <x v="25"/>
    <d v="2026-06-24T00:00:00"/>
    <d v="2026-06-23T00:00:00"/>
    <s v="GERENCIA DE OPERACIONES"/>
    <s v="RAFAEL.LANDAURO@UMA.EDU.PE"/>
    <s v="RUC"/>
    <s v="20610253807"/>
    <s v="CLYDE PUBLICIDAD S.A.C."/>
    <s v="FACTURA"/>
    <s v="E001-19"/>
    <s v="PDF-DOC-E001-1920610253807 (1).PDF"/>
    <s v="ALQUILER E IMPRESIÓN PARA NUEVO PANEL PUBLICITARIO"/>
    <s v="SERVICIOS EMPRESARIALES"/>
    <s v="OTRO BANCO"/>
    <s v="00219300713694516113"/>
    <x v="1"/>
    <n v="3.5"/>
    <n v="1652"/>
    <n v="5782"/>
    <n v="198"/>
    <n v="1454"/>
    <x v="1"/>
    <d v="2026-07-01T00:00:00"/>
    <n v="1454"/>
    <n v="0"/>
    <s v="TOTAL"/>
  </r>
  <r>
    <x v="26"/>
    <d v="2026-06-25T00:00:00"/>
    <d v="2026-06-25T00:00:00"/>
    <s v="GERENCIA DE OPERACIONES"/>
    <s v="RAFAEL.LANDAURO@UMA.EDU.PE"/>
    <s v="RUC"/>
    <s v="20600178971"/>
    <s v="JAGUAR SOFT S.A.C."/>
    <s v="FACTURA"/>
    <s v="F003-001676"/>
    <s v="20600178971-01-F003-1676.PDF"/>
    <s v="ALQUILER DE SISTEMA ACADÉMICO Y ADMINISTRATIVO JUN. 26"/>
    <s v="SOPORTE TI"/>
    <s v="CONTINENTAL"/>
    <s v="00110261000200336577"/>
    <x v="0"/>
    <m/>
    <n v="1036"/>
    <n v="0"/>
    <n v="124"/>
    <n v="912"/>
    <x v="0"/>
    <d v="2026-07-01T00:00:00"/>
    <n v="912"/>
    <n v="0"/>
    <s v="TOTAL"/>
  </r>
  <r>
    <x v="27"/>
    <d v="2026-06-25T00:00:00"/>
    <d v="2026-06-25T00:00:00"/>
    <s v="GERENCIA DE OPERACIONES"/>
    <s v="RAFAEL.LANDAURO@UMA.EDU.PE"/>
    <s v="RUC"/>
    <s v="20611664606"/>
    <s v="PROYECTOS Y SOLUCIONES MIGUELITO S.A.C."/>
    <s v="COTIZACIÓN "/>
    <s v="ADELANTO"/>
    <s v="20611664606-PROYECTOS Y SOLUCIONES MIGUELITO S.A.C..PDF"/>
    <s v="ESCRITORIO L - ESTUDIOS GENERALES"/>
    <s v="COMPRA DE MOBILIARIO ESTÁNDAR"/>
    <s v="OTRO BANCO"/>
    <s v="00320000300673249434"/>
    <x v="0"/>
    <m/>
    <n v="700"/>
    <n v="0"/>
    <n v="0"/>
    <n v="700"/>
    <x v="0"/>
    <d v="2026-07-01T00:00:00"/>
    <n v="700"/>
    <n v="0"/>
    <s v="TOTAL"/>
  </r>
  <r>
    <x v="28"/>
    <d v="2026-06-25T00:00:00"/>
    <d v="2026-06-25T00:00:00"/>
    <s v="GERENCIA DE OPERACIONES"/>
    <s v="RAFAEL.LANDAURO@UMA.EDU.PE"/>
    <s v="DNI O L.E."/>
    <s v="44963620"/>
    <s v="CARHUACHIN TOLENTINO HECTOR ERWIN"/>
    <s v="GASTO SIN SUSTENTO (DJ)"/>
    <s v="REEMBOLSO"/>
    <s v="44963620-FORMATO GSS MAYO - JUNIO.PDF"/>
    <s v="SUPERVISIONES Y GESTIONES EXTRAMURALES EN RELACIÓN A CAMPOS CLÍNICOS - ENF"/>
    <s v="TRANSPORTE DE PERSONAL"/>
    <s v="CONTINENTAL"/>
    <s v="00110579000231859577"/>
    <x v="0"/>
    <m/>
    <n v="180"/>
    <n v="0"/>
    <n v="0"/>
    <n v="180"/>
    <x v="0"/>
    <d v="2026-07-01T00:00:00"/>
    <n v="180"/>
    <n v="0"/>
    <s v="TOTAL"/>
  </r>
  <r>
    <x v="29"/>
    <d v="2026-06-25T00:00:00"/>
    <d v="2026-06-25T00:00:00"/>
    <s v="GERENCIA DE OPERACIONES"/>
    <s v="RAFAEL.LANDAURO@UMA.EDU.PE"/>
    <s v="RUC"/>
    <s v="10321259613"/>
    <s v="GARCIA MALLQUI FRANCISCO AMANCIO"/>
    <s v="COTIZACIÓN "/>
    <s v="ADELANTO"/>
    <s v="COTIZACION FRAGMAC.PDF"/>
    <s v="INSUMOS DE LABORATORIOS - FYB"/>
    <s v="COMPRA DE BIENES COMUNES"/>
    <s v="OTRO BANCO"/>
    <s v="00219112125924608454"/>
    <x v="0"/>
    <m/>
    <n v="190"/>
    <n v="0"/>
    <n v="0"/>
    <n v="190"/>
    <x v="0"/>
    <d v="2026-07-01T00:00:00"/>
    <n v="190"/>
    <n v="0"/>
    <s v="TOTAL"/>
  </r>
  <r>
    <x v="30"/>
    <d v="2026-06-02T00:00:00"/>
    <d v="2026-06-02T00:00:00"/>
    <s v="GERENCIA DE OPERACIONES"/>
    <s v="RAFAEL.LANDAURO@UMA.EDU.PE"/>
    <s v="RUC"/>
    <s v="20557553615"/>
    <s v="NG SERVICIOS S.A.C."/>
    <s v="FACTURA"/>
    <s v="F002-0001536"/>
    <s v="F002-0001536.PDF"/>
    <s v="SERVICIO DE LIMPIEZA - JUN. 26"/>
    <s v="SERVICIOS DE LIMPIEZA"/>
    <s v="CONTINENTAL"/>
    <s v="00110370000200340143"/>
    <x v="0"/>
    <m/>
    <n v="17430.310000000001"/>
    <n v="0"/>
    <n v="2092"/>
    <n v="15338.310000000001"/>
    <x v="0"/>
    <d v="2026-07-01T00:00:00"/>
    <n v="15338.310000000001"/>
    <n v="0"/>
    <s v="TOTAL"/>
  </r>
  <r>
    <x v="31"/>
    <d v="2026-06-11T00:00:00"/>
    <d v="2026-06-09T00:00:00"/>
    <s v="GERENCIA DE OPERACIONES"/>
    <s v="RAFAEL.LANDAURO@UMA.EDU.PE"/>
    <s v="RUC"/>
    <s v="20601694680"/>
    <s v="TOTAL NETWORKS S.A"/>
    <s v="FACTURA"/>
    <s v="F001-00013650"/>
    <s v="F001-00013650.PDF"/>
    <s v="INTERNET BUSINESS DE 50MBPS. PERIODO MES DE JUN. 2026 - AV AREQUIPA"/>
    <s v="SERVICIOS NO CLASIFICADOS AFECTOS A IGV"/>
    <s v="CONTINENTAL"/>
    <s v="00110354000100039600"/>
    <x v="0"/>
    <m/>
    <n v="441"/>
    <n v="0"/>
    <n v="0"/>
    <n v="441"/>
    <x v="0"/>
    <d v="2026-07-01T00:00:00"/>
    <n v="441"/>
    <n v="0"/>
    <s v="TOTAL"/>
  </r>
  <r>
    <x v="32"/>
    <d v="2026-06-11T00:00:00"/>
    <d v="2026-06-08T00:00:00"/>
    <s v="GERENCIA DE OPERACIONES"/>
    <s v="RAFAEL.LANDAURO@UMA.EDU.PE"/>
    <s v="RUC"/>
    <s v="20552504641"/>
    <s v="WIN EMPRESAS SAC"/>
    <s v="BOLETA"/>
    <s v="S001-550385"/>
    <s v="20550807123_S001_00550385.PDF"/>
    <s v="01-06-2026 - 30-06-2026 RENTA MENSUAL"/>
    <s v="SERVICIOS NO CLASIFICADOS AFECTOS A IGV"/>
    <s v="OTRO BANCO"/>
    <s v="00219400212888508794"/>
    <x v="0"/>
    <m/>
    <n v="339.84"/>
    <n v="0"/>
    <n v="0"/>
    <n v="339.84"/>
    <x v="0"/>
    <d v="2026-07-01T00:00:00"/>
    <n v="339.84"/>
    <n v="0"/>
    <s v="TOTAL"/>
  </r>
  <r>
    <x v="33"/>
    <d v="2026-06-04T00:00:00"/>
    <d v="2026-06-02T00:00:00"/>
    <s v="GERENCIA DE OPERACIONES"/>
    <s v="RAFAEL.LANDAURO@UMA.EDU.PE"/>
    <s v="RUC"/>
    <s v="20335020872"/>
    <s v="HEWLETT - PACKARD PERU S.R.L."/>
    <s v="FACTURA"/>
    <s v="F001-00746250"/>
    <s v="20335020872_01_F001-746250_157316455.PDF"/>
    <s v="CONTRATO N 3 DE ARRENDAMIENTO - CUOTA 23-24"/>
    <s v="ALQUILER DE BIENES  (MUEBLES)"/>
    <s v="OTRO BANCO"/>
    <s v="00219300119689111611"/>
    <x v="1"/>
    <n v="3.5"/>
    <n v="1568.14"/>
    <n v="5488.4900000000007"/>
    <n v="157"/>
    <n v="1411.14"/>
    <x v="1"/>
    <d v="2026-07-01T00:00:00"/>
    <n v="1411.14"/>
    <n v="0"/>
    <s v="TOTAL"/>
  </r>
  <r>
    <x v="34"/>
    <d v="2026-06-01T00:00:00"/>
    <d v="2026-06-01T00:00:00"/>
    <s v="GERENCIA DE OPERACIONES"/>
    <s v="RAFAEL.LANDAURO@UMA.EDU.PE"/>
    <s v="RUC"/>
    <s v="20600866941"/>
    <s v="VM PUBLICIDAD &amp; INVERSION E.I.R.L."/>
    <s v="FACTURA"/>
    <s v="E001-583 "/>
    <s v="E001-583.PDF"/>
    <s v="ALQUILER DE ESPACIO PUBLICITARIO - JUN. 26"/>
    <s v="PUBLICIDAD Y MARKETING"/>
    <s v="OTRO BANCO"/>
    <s v="00219100721335608054"/>
    <x v="0"/>
    <m/>
    <n v="27966"/>
    <n v="0"/>
    <n v="3356"/>
    <n v="24610"/>
    <x v="0"/>
    <d v="2026-07-01T00:00:00"/>
    <n v="24610"/>
    <n v="0"/>
    <s v="TOTAL"/>
  </r>
  <r>
    <x v="35"/>
    <d v="2026-06-01T00:00:00"/>
    <d v="2026-06-01T00:00:00"/>
    <s v="GERENCIA DE OPERACIONES"/>
    <s v="RAFAEL.LANDAURO@UMA.EDU.PE"/>
    <s v="RUC"/>
    <s v="20605319247"/>
    <s v="NETVOICE SA.C."/>
    <s v="FACTURA"/>
    <s v="E001-9039 "/>
    <s v="PDF-DOC-E001-903920605319247.PDF"/>
    <s v="SERVICIO DE CONSUMO DE TRAFICO TELEFONICO PERIODO JUN. 2026"/>
    <s v="SERVICIOS NO CLASIFICADOS AFECTOS A IGV"/>
    <s v="OTRO BANCO"/>
    <s v="00219300262620401219"/>
    <x v="0"/>
    <m/>
    <n v="3240.11"/>
    <n v="0"/>
    <n v="389"/>
    <n v="2851.11"/>
    <x v="0"/>
    <d v="2026-07-01T00:00:00"/>
    <n v="2851.11"/>
    <n v="0"/>
    <s v="TOTAL"/>
  </r>
  <r>
    <x v="36"/>
    <d v="2026-06-26T00:00:00"/>
    <d v="2026-06-26T00:00:00"/>
    <s v="GERENCIA DE OPERACIONES"/>
    <s v="RAFAEL.LANDAURO@UMA.EDU.PE"/>
    <s v="RUC"/>
    <s v="20613574957"/>
    <s v="OPTIMIZACX CONSULTORIA Y SERVICIOS S.A.C."/>
    <s v="FACTURA"/>
    <s v="E001-20 "/>
    <s v="PDF-DOC-E001-2020613574957.PDF"/>
    <s v="SERVICIO DE GESTION DE COBRANZA MAY. 26"/>
    <s v="SERVICIOS EMPRESARIALES"/>
    <s v="OTRO BANCO"/>
    <s v="00219400712804707394"/>
    <x v="0"/>
    <m/>
    <n v="41005.800000000003"/>
    <n v="0"/>
    <n v="4921"/>
    <n v="36084.800000000003"/>
    <x v="0"/>
    <d v="2026-07-01T00:00:00"/>
    <n v="36084.800000000003"/>
    <n v="0"/>
    <s v="TOTAL"/>
  </r>
  <r>
    <x v="37"/>
    <d v="2026-06-26T00:00:00"/>
    <d v="2026-06-26T00:00:00"/>
    <s v="GERENCIA DE OPERACIONES"/>
    <s v="RAFAEL.LANDAURO@UMA.EDU.PE"/>
    <s v="DNI O L.E."/>
    <s v="06294409"/>
    <s v="MORAN PAREDES GLADYS IVONNE"/>
    <s v="BOLETA"/>
    <s v="ALQUILER 1"/>
    <m/>
    <s v="ALQ LOCAL AV AREQUIPA - JUL. 26"/>
    <s v="SERVICIOS NO CLASIFICADOS AFECTOS A IGV"/>
    <s v="CONTINENTAL"/>
    <s v="00110872000200007559"/>
    <x v="1"/>
    <n v="3.5"/>
    <n v="11250"/>
    <n v="39375"/>
    <n v="1350"/>
    <n v="9900"/>
    <x v="1"/>
    <d v="2026-07-01T00:00:00"/>
    <n v="9900"/>
    <n v="0"/>
    <s v="TOTAL"/>
  </r>
  <r>
    <x v="38"/>
    <d v="2026-06-26T00:00:00"/>
    <d v="2026-06-26T00:00:00"/>
    <s v="GERENCIA DE OPERACIONES"/>
    <s v="RAFAEL.LANDAURO@UMA.EDU.PE"/>
    <s v="DNI O L.E."/>
    <s v="06294409"/>
    <s v="MORAN PAREDES GLADYS IVONNE"/>
    <s v="BOLETA"/>
    <s v="ALQUILER 2"/>
    <m/>
    <s v="ALQUILER AV CANTO BELLO 7A - JUL. 26"/>
    <s v="SERVICIOS NO CLASIFICADOS AFECTOS A IGV"/>
    <s v="CONTINENTAL"/>
    <s v="00110872000200007559"/>
    <x v="1"/>
    <n v="3.5"/>
    <n v="4152.3599999999997"/>
    <n v="14533.259999999998"/>
    <n v="498"/>
    <n v="3654.3599999999997"/>
    <x v="1"/>
    <d v="2026-07-01T00:00:00"/>
    <n v="3654.3599999999997"/>
    <n v="0"/>
    <s v="TOTAL"/>
  </r>
  <r>
    <x v="39"/>
    <d v="2026-06-26T00:00:00"/>
    <d v="2026-06-26T00:00:00"/>
    <s v="GERENCIA DE OPERACIONES"/>
    <s v="RAFAEL.LANDAURO@UMA.EDU.PE"/>
    <s v="DNI O L.E."/>
    <s v="06677714"/>
    <s v="MORAN MARQUEZ GREGORIO OSWALDO"/>
    <s v="BOLETA"/>
    <s v="ALQUILER 3"/>
    <m/>
    <s v="ALQUILER LOS OLMOS OMORAN - JUL. 26"/>
    <s v="SERVICIOS NO CLASIFICADOS AFECTOS A IGV"/>
    <s v="CONTINENTAL"/>
    <s v="00110360000200224009"/>
    <x v="1"/>
    <n v="3.5"/>
    <n v="4031.42"/>
    <n v="14109.970000000001"/>
    <n v="484"/>
    <n v="3547.42"/>
    <x v="1"/>
    <d v="2026-07-01T00:00:00"/>
    <n v="3547.42"/>
    <n v="0"/>
    <s v="TOTAL"/>
  </r>
  <r>
    <x v="40"/>
    <d v="2026-06-26T00:00:00"/>
    <d v="2026-06-26T00:00:00"/>
    <s v="GERENCIA DE OPERACIONES"/>
    <s v="RAFAEL.LANDAURO@UMA.EDU.PE"/>
    <s v="DNI O L.E."/>
    <s v="06294409"/>
    <s v="MORAN PAREDES GLADYS IVONNE"/>
    <s v="BOLETA"/>
    <s v="ALQUILER 4"/>
    <m/>
    <s v="ALQUILER LOS OLMOS GMORAN - JUL. 26"/>
    <s v="SERVICIOS NO CLASIFICADOS AFECTOS A IGV"/>
    <s v="CONTINENTAL"/>
    <s v="00110872000200007559"/>
    <x v="1"/>
    <n v="3.5"/>
    <n v="4031.42"/>
    <n v="14109.970000000001"/>
    <n v="484"/>
    <n v="3547.42"/>
    <x v="1"/>
    <d v="2026-07-01T00:00:00"/>
    <n v="3547.42"/>
    <n v="0"/>
    <s v="TOTAL"/>
  </r>
  <r>
    <x v="41"/>
    <d v="2026-06-26T00:00:00"/>
    <d v="2026-06-26T00:00:00"/>
    <s v="GERENCIA DE OPERACIONES"/>
    <s v="RAFAEL.LANDAURO@UMA.EDU.PE"/>
    <s v="DNI O L.E."/>
    <s v="06294409"/>
    <s v="MORAN PAREDES GLADYS IVONNE"/>
    <s v="BOLETA"/>
    <s v="ALQUILER 5"/>
    <m/>
    <s v="ALQUILER AV CANTO BELLO 7B - JUL. 26"/>
    <s v="SERVICIOS NO CLASIFICADOS AFECTOS A IGV"/>
    <s v="CONTINENTAL"/>
    <s v="00110872000200007559"/>
    <x v="1"/>
    <n v="3.5"/>
    <n v="4152.3599999999997"/>
    <n v="14533.259999999998"/>
    <n v="498"/>
    <n v="3654.3599999999997"/>
    <x v="0"/>
    <d v="2026-07-01T00:00:00"/>
    <n v="3654.3599999999997"/>
    <n v="0"/>
    <s v="TOTAL"/>
  </r>
  <r>
    <x v="42"/>
    <d v="2026-06-26T00:00:00"/>
    <d v="2026-06-26T00:00:00"/>
    <s v="GERENCIA DE OPERACIONES"/>
    <s v="RAFAEL.LANDAURO@UMA.EDU.PE"/>
    <s v="DNI O L.E."/>
    <s v="06294409"/>
    <s v="MORAN PAREDES GLADYS IVONNE"/>
    <s v="BOLETA"/>
    <s v="ALQUILER 6"/>
    <m/>
    <s v="ALQUILER BARRANCA GMORAN - JUL. 26"/>
    <s v="SERVICIOS NO CLASIFICADOS AFECTOS A IGV"/>
    <s v="CONTINENTAL"/>
    <s v="00110872000200007559"/>
    <x v="1"/>
    <n v="3.5"/>
    <n v="7000"/>
    <n v="24500"/>
    <n v="840"/>
    <n v="6160"/>
    <x v="0"/>
    <d v="2026-07-01T00:00:00"/>
    <n v="6160"/>
    <n v="0"/>
    <s v="TOTAL"/>
  </r>
  <r>
    <x v="43"/>
    <d v="2026-06-26T00:00:00"/>
    <d v="2026-06-26T00:00:00"/>
    <s v="GERENCIA DE OPERACIONES"/>
    <s v="RAFAEL.LANDAURO@UMA.EDU.PE"/>
    <s v="DNI O L.E."/>
    <s v="06677714"/>
    <s v="MORAN MARQUEZ GREGORIO OSWALDO"/>
    <s v="BOLETA"/>
    <s v="ALQUILER 7"/>
    <m/>
    <s v="ALQUILER BARRANCA OMORAN - JUL. 26"/>
    <s v="SERVICIOS NO CLASIFICADOS AFECTOS A IGV"/>
    <s v="CONTINENTAL"/>
    <s v="00110360000200224009"/>
    <x v="1"/>
    <n v="3.5"/>
    <n v="7000"/>
    <n v="24500"/>
    <n v="840"/>
    <n v="6160"/>
    <x v="0"/>
    <d v="2026-07-01T00:00:00"/>
    <n v="6160"/>
    <n v="0"/>
    <s v="TOTAL"/>
  </r>
  <r>
    <x v="44"/>
    <d v="2026-06-26T00:00:00"/>
    <d v="2026-06-26T00:00:00"/>
    <s v="GERENCIA DE OPERACIONES"/>
    <s v="RAFAEL.LANDAURO@UMA.EDU.PE"/>
    <s v="DNI O L.E."/>
    <s v="06294409"/>
    <s v="MORAN PAREDES GLADYS IVONNE"/>
    <s v="BOLETA"/>
    <s v="ALQUILER 8"/>
    <m/>
    <s v="ALQUILER DE CAMIONETA - JUL. 26"/>
    <s v="SERVICIOS NO CLASIFICADOS AFECTOS A IGV"/>
    <s v="CONTINENTAL"/>
    <s v="00110872000200007559"/>
    <x v="1"/>
    <n v="3.5"/>
    <n v="1100"/>
    <n v="3850"/>
    <n v="132"/>
    <n v="968"/>
    <x v="0"/>
    <d v="2026-07-01T00:00:00"/>
    <n v="968"/>
    <n v="0"/>
    <s v="TOTAL"/>
  </r>
  <r>
    <x v="45"/>
    <d v="2026-06-26T00:00:00"/>
    <d v="2026-06-15T00:00:00"/>
    <s v="GERENCIA DE OPERACIONES"/>
    <s v="RAFAEL.LANDAURO@UMA.EDU.PE"/>
    <s v="RUC"/>
    <s v="20501426041"/>
    <s v="SERVICIOS MULTIMEDIA S.A.C"/>
    <s v="FACTURA"/>
    <s v="F030-1845269"/>
    <s v="INVOICE_F 030-1845269.PDF"/>
    <s v="SERVICIO MULTIPRODUCTO DIGITAL-MANTENIMIENTO - SUSCRIPCIÓN - JUN. 26"/>
    <s v="HOSTING Y SERVICIOS TECNOLÓGICOS"/>
    <s v="CONTINENTAL"/>
    <s v="00110686000100025818"/>
    <x v="0"/>
    <m/>
    <n v="20425.919999999998"/>
    <n v="0"/>
    <n v="2451"/>
    <n v="17974.919999999998"/>
    <x v="0"/>
    <d v="2026-07-01T00:00:00"/>
    <n v="17974.919999999998"/>
    <n v="0"/>
    <s v="TOTAL"/>
  </r>
  <r>
    <x v="46"/>
    <d v="2026-06-26T00:00:00"/>
    <d v="2026-06-26T00:00:00"/>
    <s v="GERENCIA DE OPERACIONES"/>
    <s v="RAFAEL.LANDAURO@UMA.EDU.PE"/>
    <s v="DNI O L.E."/>
    <s v="10525370"/>
    <s v="ESCOBAR CHUQUIHUACCHA VERONICA SOFIA"/>
    <s v="ENTREGA A RENDIR"/>
    <s v="A rendir"/>
    <s v="INTERNET DE BARRANCA.PDF"/>
    <s v="PAGO INTERNET BARRANCA MAYO Y JUNIO"/>
    <s v="HOSTING Y SERVICIOS TECNOLÓGICOS"/>
    <s v="OTRO BANCO"/>
    <s v="00219117528450505358"/>
    <x v="0"/>
    <m/>
    <n v="144.30000000000001"/>
    <n v="0"/>
    <n v="0"/>
    <n v="144.30000000000001"/>
    <x v="0"/>
    <d v="2026-07-01T00:00:00"/>
    <n v="144.30000000000001"/>
    <n v="0"/>
    <s v="TOTAL"/>
  </r>
  <r>
    <x v="47"/>
    <d v="2026-06-26T00:00:00"/>
    <d v="2026-06-26T00:00:00"/>
    <s v="GERENCIA DE OPERACIONES"/>
    <s v="RAFAEL.LANDAURO@UMA.EDU.PE"/>
    <s v="RUC"/>
    <s v="10074982650"/>
    <s v="HUARICACHA CONDORI AMERICO FREDY"/>
    <s v="FACTURA"/>
    <s v="E001-242"/>
    <s v="PDF-DOC-E001-24210074982650 (1).PDF"/>
    <s v="POLOS Y CAMISAS INSTITUCIONALES"/>
    <s v="PUBLICIDAD Y MARKETING"/>
    <s v="OTRO BANCO"/>
    <s v="00219113417378407255"/>
    <x v="0"/>
    <m/>
    <n v="1010.03"/>
    <n v="0"/>
    <n v="121"/>
    <n v="889.03"/>
    <x v="0"/>
    <d v="2026-07-01T00:00:00"/>
    <n v="889.03"/>
    <n v="0"/>
    <s v="TOTAL"/>
  </r>
  <r>
    <x v="48"/>
    <d v="2026-06-26T00:00:00"/>
    <d v="2026-06-26T00:00:00"/>
    <s v="GERENCIA DE OPERACIONES"/>
    <s v="RAFAEL.LANDAURO@UMA.EDU.PE"/>
    <s v="DNI O L.E."/>
    <s v="73805452"/>
    <s v="GUTIÉRREZ URIARTE SANDRA PAOLA"/>
    <s v="GASTO SIN SUSTENTO (DJ)"/>
    <s v="REEMBOLSO"/>
    <s v="MOVILIDAD-SANDRA.PDF"/>
    <s v="MOVILIDAD POR  COBERTURA FOTOGRÁFICA EN EL CIAM DE SJL 25.06"/>
    <s v="TRANSPORTE DE PERSONAL"/>
    <s v="OTRO BANCO"/>
    <s v="00363001320185852518"/>
    <x v="0"/>
    <m/>
    <n v="17.3"/>
    <n v="0"/>
    <n v="0"/>
    <n v="17.3"/>
    <x v="0"/>
    <d v="2026-07-01T00:00:00"/>
    <n v="17.3"/>
    <n v="0"/>
    <s v="TOTAL"/>
  </r>
  <r>
    <x v="49"/>
    <d v="2026-06-26T00:00:00"/>
    <d v="2026-06-26T00:00:00"/>
    <s v="GERENCIA DE OPERACIONES"/>
    <s v="RAFAEL.LANDAURO@UMA.EDU.PE"/>
    <s v="DNI O L.E."/>
    <s v="40498127"/>
    <s v="SAMANIEGO JOAQUIN JHONNEL WILLIAMS"/>
    <s v="REEMBOLSO"/>
    <s v="B397-17154"/>
    <s v="TINTA DE IMPRESORA.PDF"/>
    <s v="COMPRA DE TINTA PARA IMPRESORA - FYB"/>
    <s v="COMPRA DE ÚTILES DE OFICINA"/>
    <s v="CONTINENTAL"/>
    <s v="00110712000200200803"/>
    <x v="0"/>
    <m/>
    <n v="165.4"/>
    <n v="0"/>
    <n v="0"/>
    <n v="165.4"/>
    <x v="0"/>
    <d v="2026-07-01T00:00:00"/>
    <n v="165.4"/>
    <n v="0"/>
    <s v="TOTAL"/>
  </r>
  <r>
    <x v="50"/>
    <d v="2026-06-26T00:00:00"/>
    <d v="2026-06-26T00:00:00"/>
    <s v="GERENCIA DE OPERACIONES"/>
    <s v="RAFAEL.LANDAURO@UMA.EDU.PE"/>
    <s v="DNI O L.E."/>
    <s v="40498127"/>
    <s v="SAMANIEGO JOAQUIN JHONNEL WILLIAMS"/>
    <s v="REEMBOLSO"/>
    <s v="REEMBOLSO"/>
    <s v="GASTOS DE POA 2026 - FYB.PDF"/>
    <s v="GASTOS - POA 2026 FYB"/>
    <s v="SERVICIOS NO CLASIFICADOS AFECTOS A IGV"/>
    <s v="CONTINENTAL"/>
    <s v="00110712000200200803"/>
    <x v="0"/>
    <m/>
    <n v="165.1"/>
    <n v="0"/>
    <n v="0"/>
    <n v="165.1"/>
    <x v="0"/>
    <d v="2026-07-01T00:00:00"/>
    <n v="165.1"/>
    <n v="0"/>
    <s v="TOTAL"/>
  </r>
  <r>
    <x v="51"/>
    <d v="2026-06-26T00:00:00"/>
    <d v="2026-06-26T00:00:00"/>
    <s v="GERENCIA DE OPERACIONES"/>
    <s v="RAFAEL.LANDAURO@UMA.EDU.PE"/>
    <s v="RUC"/>
    <s v="20536602233"/>
    <s v="ANALÍTICA Y ELECTRÓNICA E.I.R.L"/>
    <s v="COTIZACIÓN "/>
    <s v="COTIZACION AyE-26-065"/>
    <s v="COT. 26-065 UMA HABILITACION ELECTRICO PARA AUTOCLAVE MRC E-AU001.XLS"/>
    <s v="MANTENIMIENTO DE LOS EQUIPOS DE LABORATORIO FYB - HABILITACIÓN ELECTRICA PARA AUTOCLAVE"/>
    <s v="MANTENIMIENTO DE EQUIPOS DE LABORATORIO"/>
    <s v="OTRO BANCO"/>
    <s v="00219112026124300158"/>
    <x v="0"/>
    <m/>
    <n v="1354.05"/>
    <n v="0"/>
    <n v="162"/>
    <n v="1192.05"/>
    <x v="0"/>
    <d v="2026-07-01T00:00:00"/>
    <n v="1192.05"/>
    <n v="0"/>
    <s v="TOTAL"/>
  </r>
  <r>
    <x v="52"/>
    <d v="2026-06-26T00:00:00"/>
    <d v="2026-06-26T00:00:00"/>
    <s v="GERENCIA DE OPERACIONES"/>
    <s v="RAFAEL.LANDAURO@UMA.EDU.PE"/>
    <s v="RUC"/>
    <s v="20536602233"/>
    <s v="ANALÍTICA Y ELECTRÓNICA E.I.R.L"/>
    <s v="COTIZACIÓN "/>
    <s v="COTIZACION AyE-26-064"/>
    <s v="COT. 26-064 UMA MANTENIMIENTO DE EQUIPOS VARIOS.XLS"/>
    <s v="MANTENIMIENTO DE LOS EQUIPOS DE LABORATORIO FYB"/>
    <s v="MANTENIMIENTO DE EQUIPOS DE LABORATORIO"/>
    <s v="OTRO BANCO"/>
    <s v="00219112026124300158"/>
    <x v="0"/>
    <m/>
    <n v="1929.3"/>
    <n v="0"/>
    <m/>
    <n v="1929.3"/>
    <x v="0"/>
    <d v="2026-07-01T00:00:00"/>
    <n v="1929.3"/>
    <n v="0"/>
    <s v="TOTAL"/>
  </r>
  <r>
    <x v="53"/>
    <d v="2026-06-26T00:00:00"/>
    <d v="2026-06-26T00:00:00"/>
    <s v="GERENCIA DE OPERACIONES"/>
    <s v="RAFAEL.LANDAURO@UMA.EDU.PE"/>
    <s v="RUC"/>
    <s v="20536602233"/>
    <s v="ANALÍTICA Y ELECTRÓNICA E.I.R.L"/>
    <s v="COTIZACIÓN "/>
    <s v="COTIZACION AyE-26-063"/>
    <s v="COT. 26-063 UMA MANTENIMIENTO DE MICROSCOPIOS..PDF"/>
    <s v="MANTENIMIENTO DE MICROSCOPIO DE LABORATORIO FYB"/>
    <s v="MANTENIMIENTO DE EQUIPOS DE LABORATORIO"/>
    <s v="OTRO BANCO"/>
    <s v="00219112026124300158"/>
    <x v="0"/>
    <m/>
    <n v="12227.75"/>
    <n v="0"/>
    <m/>
    <n v="12227.75"/>
    <x v="0"/>
    <d v="2026-07-01T00:00:00"/>
    <n v="12227.75"/>
    <n v="0"/>
    <s v="TOTAL"/>
  </r>
  <r>
    <x v="54"/>
    <d v="2026-06-30T00:00:00"/>
    <d v="2026-06-30T00:00:00"/>
    <s v="GERENCIA DE OPERACIONES"/>
    <s v="RAFAEL.LANDAURO@UMA.EDU.PE"/>
    <s v="RUC"/>
    <s v="20557553615"/>
    <s v="NG SERVICIOS S.A.C."/>
    <s v="FACTURA"/>
    <s v=" F002-0001597"/>
    <s v="F002-0001597.PDF"/>
    <s v="SERVICIO DE LIMPIEZA - JUN. 26 - DOMINGOS"/>
    <s v="SERVICIOS DE LIMPIEZA"/>
    <s v="CONTINENTAL"/>
    <s v="00110370000200340143"/>
    <x v="0"/>
    <m/>
    <n v="955.8"/>
    <n v="0"/>
    <n v="115"/>
    <n v="840.8"/>
    <x v="0"/>
    <d v="2026-07-01T00:00:00"/>
    <n v="840.8"/>
    <n v="0"/>
    <s v="TOTAL"/>
  </r>
  <r>
    <x v="55"/>
    <d v="2026-07-01T00:00:00"/>
    <d v="2026-07-01T00:00:00"/>
    <s v="GERENCIA DE OPERACIONES"/>
    <s v="RAFAEL.LANDAURO@UMA.EDU.PE"/>
    <s v="RUC"/>
    <s v="10199380724"/>
    <s v="ROSADO DE LA CRUZ ROSSI MARILU"/>
    <s v="COTIZACIÓN "/>
    <s v="Completa Pago"/>
    <s v="COMPLETA PAGO DE MEDALLAS..PDF"/>
    <s v="COMPLETA PAGO - ADQUISICIÓN DE MEDALLAS"/>
    <s v="PUBLICIDAD Y MARKETING"/>
    <s v="OTRO BANCO"/>
    <s v="00219110430344301155"/>
    <x v="0"/>
    <m/>
    <n v="9100"/>
    <n v="0"/>
    <n v="0"/>
    <n v="9100"/>
    <x v="0"/>
    <d v="2026-07-01T00:00:00"/>
    <n v="9100"/>
    <n v="0"/>
    <s v="TOTAL"/>
  </r>
  <r>
    <x v="56"/>
    <d v="2026-06-30T00:00:00"/>
    <d v="2026-06-20T00:00:00"/>
    <s v="GERENCIA DE OPERACIONES"/>
    <s v="RAFAEL.LANDAURO@UMA.EDU.PE"/>
    <s v="CARNET DE EXTRANJERIA"/>
    <s v="003073307"/>
    <s v="José Gregorio Rodríguez Olivo"/>
    <s v="GASTO SIN SUSTENTO (DJ)"/>
    <s v="DEVOLUCIÓN"/>
    <s v="DEVOLUCIÓN DE PAGO POR DESISTIMIENTO.PDF"/>
    <s v="DEVOLUCIÓN DE PAGO POR DESISTIMIENTO"/>
    <s v="SERVICIOS NO CLASIFICADOS AFECTOS A IGV"/>
    <s v="OTRO BANCO"/>
    <s v="00333001335895073383"/>
    <x v="0"/>
    <m/>
    <n v="150"/>
    <n v="0"/>
    <n v="0"/>
    <n v="150"/>
    <x v="0"/>
    <d v="2026-07-01T00:00:00"/>
    <n v="150"/>
    <n v="0"/>
    <s v="TOTAL"/>
  </r>
  <r>
    <x v="57"/>
    <d v="2026-07-02T00:00:00"/>
    <d v="2026-07-02T00:00:00"/>
    <s v="GERENCIA DE OPERACIONES"/>
    <s v="RAFAEL.LANDAURO@UMA.EDU.PE"/>
    <s v="DNI O L.E."/>
    <s v="47237985"/>
    <s v="CARRANZA VALLEJOS EDILBERTO"/>
    <s v="COTIZACIÓN "/>
    <s v="Cotización"/>
    <m/>
    <s v="VISITA A MUNICIPALIDAD SJL -GESTIÓN DE RIESGOS"/>
    <s v="SERVICIOS NO CLASIFICADOS AFECTOS A IGV"/>
    <s v="CONTINENTAL"/>
    <s v="00110128000200675599"/>
    <x v="0"/>
    <m/>
    <n v="30"/>
    <n v="0"/>
    <n v="0"/>
    <n v="30"/>
    <x v="0"/>
    <d v="2026-07-02T00:00:00"/>
    <n v="30"/>
    <n v="0"/>
    <s v="TOTAL"/>
  </r>
  <r>
    <x v="58"/>
    <d v="2026-07-02T00:00:00"/>
    <d v="2026-07-02T00:00:00"/>
    <s v="GERENCIA DE OPERACIONES"/>
    <s v="RAFAEL.LANDAURO@UMA.EDU.PE"/>
    <s v="DNI O L.E."/>
    <s v="80384220"/>
    <s v="GOMEZ BERROSPI PAUL LEONARDO"/>
    <s v="ENTREGA A RENDIR"/>
    <s v="Movilidades"/>
    <m/>
    <s v="PROSPECCIÓN DE COLEGIOS - PROYECCIÓN DE GASTOS DEL JULIO"/>
    <s v="TRANSPORTE DE PERSONAL"/>
    <s v="CONTINENTAL"/>
    <s v="00110322000200378610"/>
    <x v="0"/>
    <m/>
    <n v="2970.09"/>
    <n v="0"/>
    <n v="0"/>
    <n v="2970.09"/>
    <x v="0"/>
    <d v="2026-07-06T00:00:00"/>
    <n v="2970.09"/>
    <n v="0"/>
    <s v="TOTAL"/>
  </r>
  <r>
    <x v="59"/>
    <d v="2026-06-30T00:00:00"/>
    <d v="2026-06-30T00:00:00"/>
    <s v="GERENCIA DE OPERACIONES"/>
    <s v="RAFAEL.LANDAURO@UMA.EDU.PE"/>
    <s v="RUC"/>
    <s v="20612392171"/>
    <s v="SERVICIOS PROFESIONALES JCJ ASOCIADOS S.A.C.S."/>
    <s v="FACTURA"/>
    <s v="E001-48"/>
    <m/>
    <s v="MANTENIMIENTO PREVENTIVO ASCENSOR - JUNIO 2026"/>
    <s v="MANTENIMIENTO DE ASCENSORES"/>
    <s v="OTRO BANCO"/>
    <s v="00320000300633683137"/>
    <x v="0"/>
    <m/>
    <n v="472"/>
    <n v="0"/>
    <n v="0"/>
    <n v="472"/>
    <x v="0"/>
    <d v="2026-07-06T00:00:00"/>
    <n v="472"/>
    <n v="0"/>
    <s v="TOTAL"/>
  </r>
  <r>
    <x v="60"/>
    <d v="2026-07-01T00:00:00"/>
    <d v="2026-07-01T00:00:00"/>
    <s v="GERENCIA DE OPERACIONES"/>
    <s v="RAFAEL.LANDAURO@UMA.EDU.PE"/>
    <s v="RUC"/>
    <s v="20613937286"/>
    <s v="OUTFRONT HUB S.A.C."/>
    <s v="FACTURA"/>
    <s v="F002-77"/>
    <m/>
    <s v="ALQUILER DE TORRE UNIPOLAR  AV. 9 DE OCTUBRE CDRA. 9 - SJL"/>
    <s v="PUBLICIDAD Y MARKETING"/>
    <s v="OTRO BANCO"/>
    <s v="00219400723188504198"/>
    <x v="0"/>
    <m/>
    <n v="4720"/>
    <n v="0"/>
    <n v="566"/>
    <n v="4154"/>
    <x v="0"/>
    <d v="2026-07-06T00:00:00"/>
    <n v="4154"/>
    <n v="0"/>
    <s v="TOTAL"/>
  </r>
  <r>
    <x v="61"/>
    <d v="2026-07-01T00:00:00"/>
    <d v="2026-07-01T00:00:00"/>
    <s v="GERENCIA DE OPERACIONES"/>
    <s v="RAFAEL.LANDAURO@UMA.EDU.PE"/>
    <s v="RUC"/>
    <s v="20605319247"/>
    <s v="NETVOICE SA.C."/>
    <s v="FACTURA"/>
    <s v="E001-9338"/>
    <m/>
    <s v="RENTA MENSUAL DE PBX ISSABEL 01.07-31.07"/>
    <s v="HOSTING Y SERVICIOS TECNOLÓGICOS"/>
    <s v="OTRO BANCO"/>
    <s v="00389800300393291945"/>
    <x v="1"/>
    <n v="3.5"/>
    <n v="76.89"/>
    <n v="269.11500000000001"/>
    <n v="0"/>
    <n v="76.89"/>
    <x v="0"/>
    <d v="2026-07-06T00:00:00"/>
    <n v="76.89"/>
    <n v="0"/>
    <s v="TOTAL"/>
  </r>
  <r>
    <x v="62"/>
    <d v="2026-07-01T00:00:00"/>
    <d v="2026-07-01T00:00:00"/>
    <s v="GERENCIA DE OPERACIONES"/>
    <s v="RAFAEL.LANDAURO@UMA.EDU.PE"/>
    <s v="RUC"/>
    <s v="20523915127"/>
    <s v="EGOLARTE SAC"/>
    <s v="COTIZACIÓN "/>
    <s v="PRESUPUESTO N 001068 - 2026"/>
    <m/>
    <s v="PIZARRA - AULA 101"/>
    <s v="COMPRA DE MOBILIARIO ESTÁNDAR"/>
    <s v="CONTINENTAL"/>
    <s v="00110353000100044099"/>
    <x v="0"/>
    <m/>
    <n v="1989"/>
    <n v="0"/>
    <n v="0"/>
    <n v="1989"/>
    <x v="0"/>
    <d v="2026-07-06T00:00:00"/>
    <n v="1989"/>
    <n v="0"/>
    <s v="TOTAL"/>
  </r>
  <r>
    <x v="63"/>
    <d v="2026-07-01T00:00:00"/>
    <d v="2026-07-01T00:00:00"/>
    <s v="GERENCIA DE OPERACIONES"/>
    <s v="RAFAEL.LANDAURO@UMA.EDU.PE"/>
    <s v="RUC"/>
    <s v="20608014773"/>
    <s v="GREEN INSUQUIMICA SAC"/>
    <s v="COTIZACIÓN "/>
    <s v="COT N 00060026131"/>
    <m/>
    <s v=" INSUMOS DEL LABORATORIO - FYB"/>
    <s v="COMPRA DE REACTIVOS"/>
    <s v="OTRO BANCO"/>
    <s v="00219100940024809859"/>
    <x v="0"/>
    <m/>
    <n v="677.5"/>
    <n v="0"/>
    <n v="0"/>
    <n v="677.5"/>
    <x v="0"/>
    <d v="2026-07-06T00:00:00"/>
    <n v="677.5"/>
    <n v="0"/>
    <s v="TOTAL"/>
  </r>
  <r>
    <x v="64"/>
    <d v="2029-07-01T00:00:00"/>
    <d v="2026-06-30T00:00:00"/>
    <s v="GERENCIA DE OPERACIONES"/>
    <s v="RAFAEL.LANDAURO@UMA.EDU.PE"/>
    <s v="RUC"/>
    <s v="20270485015"/>
    <s v="IMPORTADORA ANDINA E.I.R.L"/>
    <s v="COTIZACIÓN "/>
    <s v="COT N 00194531"/>
    <m/>
    <s v=" INSUMOS DEL LABORATORIO - FYB"/>
    <s v="COMPRA DE REACTIVOS"/>
    <s v="OTRO BANCO"/>
    <s v="00219100175876005155"/>
    <x v="0"/>
    <m/>
    <n v="1559.19"/>
    <n v="0"/>
    <n v="0"/>
    <n v="1559.19"/>
    <x v="0"/>
    <d v="2026-07-06T00:00:00"/>
    <n v="1559.19"/>
    <n v="0"/>
    <s v="TOTAL"/>
  </r>
  <r>
    <x v="65"/>
    <d v="2026-07-02T00:00:00"/>
    <d v="2026-06-30T00:00:00"/>
    <s v="GERENCIA DE OPERACIONES"/>
    <s v="RAFAEL.LANDAURO@UMA.EDU.PE"/>
    <s v="RUC"/>
    <s v="20265681299"/>
    <s v="EQUIFAX PERU SAC"/>
    <s v="FACTURA"/>
    <s v=" F001- 1156897_x000d_"/>
    <m/>
    <s v="SERVICIOS DE COBRANZA BLANCA JUN. 26"/>
    <s v="OUTSOURCING DE PERSONAL"/>
    <s v="OTRO BANCO"/>
    <s v="00219400211742109092"/>
    <x v="0"/>
    <m/>
    <n v="577.02"/>
    <n v="0"/>
    <m/>
    <n v="577.02"/>
    <x v="0"/>
    <d v="2026-07-06T00:00:00"/>
    <n v="577.02"/>
    <n v="0"/>
    <s v="TOTAL"/>
  </r>
  <r>
    <x v="66"/>
    <d v="2026-07-02T00:00:00"/>
    <d v="2026-07-02T00:00:00"/>
    <s v="GERENCIA DE OPERACIONES"/>
    <s v="RAFAEL.LANDAURO@UMA.EDU.PE"/>
    <s v="RUC"/>
    <s v="20602571077"/>
    <s v="HOLACLIENTE SAC"/>
    <s v="COTIZACIÓN "/>
    <s v="Cotización S01438"/>
    <m/>
    <s v="SERVICIO DE BOLSA WHATSAPP - TESORERÍA"/>
    <s v="HOSTING Y SERVICIOS TECNOLÓGICOS"/>
    <s v="CONTINENTAL"/>
    <s v="00110908000100006797"/>
    <x v="0"/>
    <m/>
    <n v="6584.4"/>
    <n v="0"/>
    <n v="790"/>
    <n v="5794.4"/>
    <x v="1"/>
    <m/>
    <n v="5794.4"/>
    <n v="0"/>
    <s v="TOTAL"/>
  </r>
  <r>
    <x v="67"/>
    <d v="2026-07-06T00:00:00"/>
    <d v="2026-07-06T00:00:00"/>
    <s v="GERENCIA DE OPERACIONES"/>
    <s v="RAFAEL.LANDAURO@UMA.EDU.PE"/>
    <s v="RUC"/>
    <s v="20550807123"/>
    <s v="UNIVERSIDAD MARIA AUXILIADORA S.A.C."/>
    <s v="ENTREGA A RENDIR"/>
    <s v="PRESUPUESTO"/>
    <m/>
    <s v="REDES SOCIALES JULIO - POA 2026"/>
    <s v="HOSTING Y SERVICIOS TECNOLÓGICOS"/>
    <s v="CONTINENTAL"/>
    <s v="00110436000200000324"/>
    <x v="0"/>
    <m/>
    <n v="50000"/>
    <n v="0"/>
    <n v="0"/>
    <n v="50000"/>
    <x v="0"/>
    <d v="2026-07-06T00:00:00"/>
    <n v="50000"/>
    <n v="0"/>
    <s v="TOTAL"/>
  </r>
  <r>
    <x v="68"/>
    <d v="2026-07-06T00:00:00"/>
    <d v="2026-07-06T00:00:00"/>
    <s v="GERENCIA DE OPERACIONES"/>
    <s v="RAFAEL.LANDAURO@UMA.EDU.PE"/>
    <s v="RUC"/>
    <s v="20550807123"/>
    <s v="UNIVERSIDAD MARIA AUXILIADORA S.A.C."/>
    <s v="ENTREGA A RENDIR"/>
    <s v="PRESUPUESTO"/>
    <m/>
    <s v="REDES SOCIALES JULIO- POA  POSGARDO 2026"/>
    <s v="HOSTING Y SERVICIOS TECNOLÓGICOS"/>
    <s v="CONTINENTAL"/>
    <s v="00110436000200000324"/>
    <x v="0"/>
    <m/>
    <n v="12000"/>
    <n v="0"/>
    <n v="0"/>
    <n v="12000"/>
    <x v="0"/>
    <d v="2026-07-06T00:00:00"/>
    <n v="12000"/>
    <n v="0"/>
    <s v="TOTAL"/>
  </r>
  <r>
    <x v="69"/>
    <d v="2026-07-04T00:00:00"/>
    <d v="2026-07-04T00:00:00"/>
    <s v="GERENCIA DE OPERACIONES"/>
    <s v="RAFAEL.LANDAURO@UMA.EDU.PE"/>
    <s v="DNI O L.E."/>
    <s v="44647124"/>
    <s v="POPUCHE CABRERA KARINA"/>
    <s v="REEMBOLSO"/>
    <s v="REEMBOLSO"/>
    <m/>
    <s v="GASTOS ADICIONALES JUNIO - PROMOTORIA COLEGIO Y GRUA PARA MINIVAN"/>
    <s v="TRANSPORTE DE PERSONAL"/>
    <s v="OTRO BANCO"/>
    <s v="00370001307385084521"/>
    <x v="0"/>
    <m/>
    <n v="349.6"/>
    <n v="0"/>
    <n v="0"/>
    <n v="349.6"/>
    <x v="0"/>
    <d v="2026-07-06T00:00:00"/>
    <n v="349.6"/>
    <n v="0"/>
    <s v="TOTAL"/>
  </r>
  <r>
    <x v="70"/>
    <d v="2026-07-05T00:00:00"/>
    <d v="2026-07-05T00:00:00"/>
    <s v="GERENCIA DE OPERACIONES"/>
    <s v="RAFAEL.LANDAURO@UMA.EDU.PE"/>
    <s v="RUC"/>
    <s v="20139491077"/>
    <s v="ASOCIACIÓN DE BANCOS DEL PERÚ"/>
    <s v="FACTURA"/>
    <s v="F001-80864"/>
    <m/>
    <s v="SERVICIO YAPAGO CLOUD - JULIO"/>
    <s v="HOSTING Y SERVICIOS TECNOLÓGICOS"/>
    <s v="OTRO BANCO"/>
    <s v="00219100101694710059"/>
    <x v="1"/>
    <n v="3.5"/>
    <n v="1357"/>
    <n v="4749.5"/>
    <n v="163"/>
    <n v="1194"/>
    <x v="0"/>
    <d v="2026-07-06T00:00:00"/>
    <n v="1194"/>
    <n v="0"/>
    <s v="TOTAL"/>
  </r>
  <r>
    <x v="71"/>
    <d v="2026-07-06T00:00:00"/>
    <d v="2026-07-03T00:00:00"/>
    <s v="GERENCIA DE OPERACIONES"/>
    <s v="RAFAEL.LANDAURO@UMA.EDU.PE"/>
    <s v="RUC"/>
    <s v="20609308347"/>
    <s v="KUELAP INGENIEROS S.A.C"/>
    <s v="FACTURA"/>
    <s v="E001-921"/>
    <m/>
    <s v="COMPLETA PAGO - ESTUDIO DE SUELOS  CON FINES DE CIMENTACIÓN - LOTE 7"/>
    <s v="SERVICIOS EMPRESARIALES"/>
    <s v="CONTINENTAL"/>
    <s v="00110787000100029979"/>
    <x v="0"/>
    <m/>
    <n v="7080"/>
    <n v="0"/>
    <n v="850"/>
    <n v="6230"/>
    <x v="0"/>
    <d v="2026-07-06T00:00:00"/>
    <n v="6230"/>
    <n v="0"/>
    <s v="TOTAL"/>
  </r>
  <r>
    <x v="72"/>
    <d v="2026-07-06T00:00:00"/>
    <d v="2026-07-06T00:00:00"/>
    <s v="GERENCIA DE OPERACIONES"/>
    <s v="RAFAEL.LANDAURO@UMA.EDU.PE"/>
    <s v="RUC"/>
    <s v="10457128504"/>
    <s v="VENTURA CAVALCANTI MIRIAM HEYDI"/>
    <s v="ENTREGA A RENDIR"/>
    <s v="Presupuesto"/>
    <m/>
    <s v="TOGAS Y SALIDA DE PICA- PICA"/>
    <s v="SERVICIOS NO CLASIFICADOS AFECTOS A IGV"/>
    <s v="CONTINENTAL"/>
    <s v="00110057000222462445"/>
    <x v="0"/>
    <m/>
    <n v="1500"/>
    <n v="0"/>
    <m/>
    <n v="1500"/>
    <x v="0"/>
    <d v="2026-07-06T00:00:00"/>
    <n v="1500"/>
    <n v="0"/>
    <s v="TOTAL"/>
  </r>
  <r>
    <x v="73"/>
    <d v="2026-07-06T00:00:00"/>
    <d v="2026-07-03T00:00:00"/>
    <s v="GERENCIA DE OPERACIONES"/>
    <s v="RAFAEL.LANDAURO@UMA.EDU.PE"/>
    <s v="RUC"/>
    <s v="09353249"/>
    <s v="LANDAURO CARRASCO RAFAEL MARTIN"/>
    <s v="REEMBOLSO"/>
    <s v="REEMBOLSO"/>
    <m/>
    <s v="DEPOSITO INDECOPI -  SOLICITADO POR GABI MORÁN"/>
    <s v="SERVICIOS NO CLASIFICADOS AFECTOS A IGV"/>
    <s v="OTRO BANCO"/>
    <s v="00219311045150107117"/>
    <x v="0"/>
    <m/>
    <n v="302.5"/>
    <n v="0"/>
    <n v="0"/>
    <n v="302.5"/>
    <x v="0"/>
    <d v="2026-07-06T00:00:00"/>
    <n v="302.5"/>
    <n v="0"/>
    <s v="TOTAL"/>
  </r>
  <r>
    <x v="74"/>
    <d v="2026-06-25T00:00:00"/>
    <d v="2026-06-09T00:00:00"/>
    <s v="GERENCIA DE OPERACIONES"/>
    <s v="RAFAEL.LANDAURO@UMA.EDU.PE"/>
    <s v="RUC"/>
    <s v="20555906138"/>
    <s v="NYTEC S.A.C."/>
    <s v="COTIZACIÓN "/>
    <s v="Propuesta N0230 -2026V2"/>
    <m/>
    <s v="PANTALLA INTERACTIVA - RECTORADO"/>
    <s v="COMPRA DE BIENES COMUNES"/>
    <s v="OTRO BANCO"/>
    <s v="00304500300134240523"/>
    <x v="1"/>
    <n v="3.5"/>
    <n v="2937.02"/>
    <n v="10279.57"/>
    <n v="0"/>
    <n v="2937.02"/>
    <x v="0"/>
    <d v="2026-07-06T00:00:00"/>
    <n v="2937.02"/>
    <n v="0"/>
    <s v="TOTAL"/>
  </r>
  <r>
    <x v="75"/>
    <d v="2026-07-01T00:00:00"/>
    <d v="2026-07-01T00:00:00"/>
    <s v="GERENCIA DE OPERACIONES"/>
    <s v="RAFAEL.LANDAURO@UMA.EDU.PE"/>
    <s v="RUC"/>
    <s v="20601136954"/>
    <s v="CLOUD SECURITEC SAC"/>
    <s v="FACTURA"/>
    <s v="FE02-00000142"/>
    <m/>
    <s v="COMPLETA PAGO DESARROLLO DE API - SISTEMA DE ASISTENCIA"/>
    <s v="DESARROLLO DE SOFTWARE"/>
    <s v="OTRO BANCO"/>
    <s v="00219113478811600951"/>
    <x v="0"/>
    <m/>
    <n v="382.2"/>
    <n v="0"/>
    <n v="0"/>
    <n v="382.2"/>
    <x v="0"/>
    <d v="2026-07-06T00:00:00"/>
    <n v="382.2"/>
    <n v="0"/>
    <s v="TOTAL"/>
  </r>
  <r>
    <x v="76"/>
    <d v="2026-07-09T00:00:00"/>
    <d v="2026-07-09T00:00:00"/>
    <s v="GERENCIA DE OPERACIONES"/>
    <s v="RAFAEL.LANDAURO@UMA.EDU.PE"/>
    <s v="RUC"/>
    <s v="20297885538 "/>
    <s v="HOTELERA COSTA DEL PACIFICO S.A"/>
    <s v="COTIZACIÓN "/>
    <s v="COTHOTDRA"/>
    <m/>
    <s v="RESERVA DEL HOTEL EN TRUJILLO - DRA GLADYS"/>
    <s v="SERVICIOS NO CLASIFICADOS AFECTOS A IGV"/>
    <s v="OTRO BANCO"/>
    <s v="00219300004163718417"/>
    <x v="1"/>
    <n v="3.5"/>
    <n v="198.4"/>
    <n v="694.4"/>
    <m/>
    <n v="198.4"/>
    <x v="0"/>
    <d v="2026-07-09T00:00:00"/>
    <n v="198.4"/>
    <n v="0"/>
    <s v="TOTAL"/>
  </r>
  <r>
    <x v="77"/>
    <d v="2026-07-06T00:00:00"/>
    <d v="2026-07-06T00:00:00"/>
    <s v="GERENCIA DE OPERACIONES"/>
    <s v="RAFAEL.LANDAURO@UMA.EDU.PE"/>
    <s v="DNI O L.E."/>
    <s v="47237985"/>
    <s v="CARRANZA VALLEJOS EDILBERTO"/>
    <s v="REEMBOLSO"/>
    <s v="EEMB DIL"/>
    <m/>
    <s v="REEMBOLSO POR COPIA DE LLAVES"/>
    <s v="SERVICIOS NO CLASIFICADOS AFECTOS A IGV"/>
    <s v="CONTINENTAL"/>
    <s v="00110128000200675599"/>
    <x v="0"/>
    <m/>
    <n v="60"/>
    <n v="0"/>
    <m/>
    <n v="60"/>
    <x v="0"/>
    <d v="2026-07-09T00:00:00"/>
    <n v="60"/>
    <n v="0"/>
    <s v="TOTAL"/>
  </r>
  <r>
    <x v="78"/>
    <d v="2026-07-09T00:00:00"/>
    <d v="2026-07-03T00:00:00"/>
    <s v="GERENCIA DE OPERACIONES"/>
    <s v="RAFAEL.LANDAURO@UMA.EDU.PE"/>
    <s v="RUC"/>
    <s v="20601713030"/>
    <s v="INKA RALLY AUTOMOTRIZ E.I.R.L."/>
    <s v="COTIZACIÓN "/>
    <s v="COTIZACION N 023-2026"/>
    <m/>
    <s v="ADELANTO DE MANTENIMIENTO DE MINIVAN"/>
    <s v="MANTENIMIENTO DE VEHÍCULOS"/>
    <s v="OTRO BANCO"/>
    <s v="00219100788578802151"/>
    <x v="0"/>
    <m/>
    <n v="700"/>
    <n v="0"/>
    <m/>
    <n v="700"/>
    <x v="0"/>
    <d v="2026-07-09T00:00:00"/>
    <n v="700"/>
    <n v="0"/>
    <s v="TOTAL"/>
  </r>
  <r>
    <x v="79"/>
    <d v="2026-07-09T00:00:00"/>
    <d v="2026-07-08T00:00:00"/>
    <s v="GERENCIA DE OPERACIONES"/>
    <s v="RAFAEL.LANDAURO@UMA.EDU.PE"/>
    <s v="RUC"/>
    <s v="20600814843"/>
    <s v="IMPRESIONES FUENTES S.A.C."/>
    <s v="FACTURA"/>
    <s v="E001-904 "/>
    <m/>
    <s v="ROLL SCREM TESORERIA"/>
    <s v="PUBLICIDAD Y MARKETING"/>
    <s v="OTRO BANCO"/>
    <s v="00320000300443668531"/>
    <x v="0"/>
    <m/>
    <n v="155"/>
    <n v="0"/>
    <m/>
    <n v="155"/>
    <x v="0"/>
    <d v="2026-07-09T00:00:00"/>
    <n v="155"/>
    <n v="0"/>
    <s v="TOTAL"/>
  </r>
  <r>
    <x v="80"/>
    <d v="2026-06-25T00:00:00"/>
    <d v="2026-06-25T00:00:00"/>
    <s v="GERENCIA DE OPERACIONES"/>
    <s v="RAFAEL.LANDAURO@UMA.EDU.PE"/>
    <s v="RUC"/>
    <s v="20556502928"/>
    <s v="KR SECURITY"/>
    <s v="FACTURA"/>
    <s v="FFF1-011087"/>
    <m/>
    <s v="SERVICIO DE SEGURIDAD - JUN. 26"/>
    <s v="SERVICIOS DE VIGILANCIA"/>
    <s v="CONTINENTAL"/>
    <s v="00110122000100039129"/>
    <x v="0"/>
    <m/>
    <n v="23458.400000000001"/>
    <n v="0"/>
    <n v="2815"/>
    <n v="20643.400000000001"/>
    <x v="1"/>
    <m/>
    <n v="20643.400000000001"/>
    <n v="0"/>
    <s v="TOTAL"/>
  </r>
  <r>
    <x v="81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2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3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4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  <r>
    <x v="85"/>
    <m/>
    <m/>
    <m/>
    <m/>
    <m/>
    <m/>
    <s v="-"/>
    <m/>
    <m/>
    <m/>
    <m/>
    <m/>
    <s v=""/>
    <s v=""/>
    <x v="2"/>
    <m/>
    <m/>
    <n v="0"/>
    <m/>
    <n v="0"/>
    <x v="3"/>
    <m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0E958-B837-466D-B763-F23CEEF210E0}" name="TablaDinámica6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>
  <location ref="AH4:AI6" firstHeaderRow="1" firstDataRow="1" firstDataCol="1" rowPageCount="2" colPageCount="1"/>
  <pivotFields count="26"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x="0"/>
        <item h="1" x="2"/>
        <item t="default"/>
      </items>
    </pivotField>
    <pivotField showAll="0"/>
    <pivotField showAll="0"/>
    <pivotField numFmtId="43" showAll="0"/>
    <pivotField showAll="0"/>
    <pivotField numFmtId="43" showAll="0"/>
    <pivotField axis="axisPage" multipleItemSelectionAllowed="1" showAll="0">
      <items count="6">
        <item h="1" x="1"/>
        <item x="2"/>
        <item h="1" x="0"/>
        <item h="1" x="3"/>
        <item h="1" m="1" x="4"/>
        <item t="default"/>
      </items>
    </pivotField>
    <pivotField showAll="0"/>
    <pivotField showAll="0"/>
    <pivotField numFmtId="43" showAll="0"/>
    <pivotField showAll="0"/>
  </pivotFields>
  <rowFields count="1">
    <field x="0"/>
  </rowFields>
  <rowItems count="2">
    <i>
      <x v="4"/>
    </i>
    <i>
      <x v="11"/>
    </i>
  </rowItems>
  <colItems count="1">
    <i/>
  </colItems>
  <pageFields count="2">
    <pageField fld="21" hier="-1"/>
    <pageField fld="15" hier="-1"/>
  </pageFields>
  <dataFields count="1">
    <dataField name="Suma de ID" fld="0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5A639-2ED1-4251-8F51-5E2F233F9BB5}" name="TablaDinámica5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>
  <location ref="AL4:AM5" firstHeaderRow="1" firstDataRow="1" firstDataCol="1" rowPageCount="2" colPageCount="1"/>
  <pivotFields count="26"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numFmtId="43" showAll="0"/>
    <pivotField showAll="0"/>
    <pivotField numFmtId="43" showAll="0"/>
    <pivotField axis="axisPage" multipleItemSelectionAllowed="1" showAll="0">
      <items count="6">
        <item h="1" x="1"/>
        <item x="2"/>
        <item h="1" x="0"/>
        <item h="1" x="3"/>
        <item h="1" m="1" x="4"/>
        <item t="default"/>
      </items>
    </pivotField>
    <pivotField showAll="0"/>
    <pivotField showAll="0"/>
    <pivotField numFmtId="43" showAll="0"/>
    <pivotField showAll="0"/>
  </pivotFields>
  <rowFields count="1">
    <field x="0"/>
  </rowFields>
  <rowItems count="1">
    <i>
      <x v="15"/>
    </i>
  </rowItems>
  <colItems count="1">
    <i/>
  </colItems>
  <pageFields count="2">
    <pageField fld="21" hier="-1"/>
    <pageField fld="15" hier="-1"/>
  </pageFields>
  <dataFields count="1">
    <dataField name="Suma de ID" fld="0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E4625-9AA2-4412-B35A-082AE5541C28}" name="TablaDinámica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>
  <location ref="AE4:AF11" firstHeaderRow="1" firstDataRow="1" firstDataCol="1" rowPageCount="2" colPageCount="1"/>
  <pivotFields count="26"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numFmtId="43" showAll="0"/>
    <pivotField showAll="0"/>
    <pivotField numFmtId="43" showAll="0"/>
    <pivotField axis="axisPage" multipleItemSelectionAllowed="1" showAll="0">
      <items count="6">
        <item x="1"/>
        <item h="1" x="2"/>
        <item h="1" x="0"/>
        <item h="1" x="3"/>
        <item h="1" m="1" x="4"/>
        <item t="default"/>
      </items>
    </pivotField>
    <pivotField showAll="0"/>
    <pivotField showAll="0"/>
    <pivotField numFmtId="43" showAll="0"/>
    <pivotField showAll="0"/>
  </pivotFields>
  <rowFields count="1">
    <field x="0"/>
  </rowFields>
  <rowItems count="7">
    <i>
      <x v="1"/>
    </i>
    <i>
      <x v="25"/>
    </i>
    <i>
      <x v="33"/>
    </i>
    <i>
      <x v="37"/>
    </i>
    <i>
      <x v="38"/>
    </i>
    <i>
      <x v="39"/>
    </i>
    <i>
      <x v="40"/>
    </i>
  </rowItems>
  <colItems count="1">
    <i/>
  </colItems>
  <pageFields count="2">
    <pageField fld="21" hier="-1"/>
    <pageField fld="15" hier="-1"/>
  </pageFields>
  <dataFields count="1">
    <dataField name="Suma de ID" fld="0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BB706-6B06-44D1-B837-E6D29344E675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7" indent="0" outline="1" outlineData="1" multipleFieldFilters="0">
  <location ref="AA4:AB6" firstHeaderRow="1" firstDataRow="1" firstDataCol="1" rowPageCount="2" colPageCount="1"/>
  <pivotFields count="26">
    <pivotField axis="axisRow" dataField="1" showAll="0">
      <items count="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t="default"/>
      </items>
    </pivotField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h="1" x="1"/>
        <item x="0"/>
        <item h="1" x="2"/>
        <item t="default"/>
      </items>
    </pivotField>
    <pivotField showAll="0"/>
    <pivotField showAll="0"/>
    <pivotField numFmtId="43" showAll="0"/>
    <pivotField showAll="0"/>
    <pivotField numFmtId="43" showAll="0"/>
    <pivotField axis="axisPage" multipleItemSelectionAllowed="1" showAll="0">
      <items count="6">
        <item x="1"/>
        <item h="1" x="2"/>
        <item h="1" x="0"/>
        <item h="1" x="3"/>
        <item h="1" m="1" x="4"/>
        <item t="default"/>
      </items>
    </pivotField>
    <pivotField showAll="0"/>
    <pivotField showAll="0"/>
    <pivotField numFmtId="43" showAll="0"/>
    <pivotField showAll="0"/>
  </pivotFields>
  <rowFields count="1">
    <field x="0"/>
  </rowFields>
  <rowItems count="2">
    <i>
      <x v="66"/>
    </i>
    <i>
      <x v="80"/>
    </i>
  </rowItems>
  <colItems count="1">
    <i/>
  </colItems>
  <pageFields count="2">
    <pageField fld="21" hier="-1"/>
    <pageField fld="15" hier="-1"/>
  </pageFields>
  <dataFields count="1">
    <dataField name="Suma de ID" fld="0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BB17B7-5B4E-47DE-A2EB-519BF5B7AF16}" name="Tabla3" displayName="Tabla3" ref="A7:Z99" totalsRowShown="0" headerRowDxfId="54" dataDxfId="52" headerRowBorderDxfId="53" tableBorderDxfId="51">
  <autoFilter ref="A7:Z99" xr:uid="{44BB17B7-5B4E-47DE-A2EB-519BF5B7AF16}"/>
  <tableColumns count="26">
    <tableColumn id="25" xr3:uid="{3B02479C-ABAE-49AA-8C05-F8DCA071C32B}" name="ID" dataDxfId="50"/>
    <tableColumn id="1" xr3:uid="{F9C167EE-7558-4E69-BF30-23761745115B}" name="FECHA DE RECEPCIÓN" dataDxfId="49"/>
    <tableColumn id="23" xr3:uid="{D9584322-7959-444B-8F4C-95504A90E13F}" name="FECHA DOCUMENTO" dataDxfId="48"/>
    <tableColumn id="11" xr3:uid="{76D70D2D-2823-45E5-9F83-F66818EF181D}" name="CENTRO DE COSTOS" dataDxfId="47"/>
    <tableColumn id="12" xr3:uid="{34A92F30-B924-4298-816C-AA365C97C192}" name="CORREO USUARIO SOLICITANTE" dataDxfId="46"/>
    <tableColumn id="34" xr3:uid="{8CBF922F-C4C6-446F-9A82-F13A50D55441}" name="TIPO DOI" dataDxfId="45" dataCellStyle="Millares"/>
    <tableColumn id="36" xr3:uid="{D4EB1726-A659-48CE-9017-6AC998E9C954}" name="NRO. DOI" dataDxfId="44"/>
    <tableColumn id="35" xr3:uid="{9542990A-78A8-40B5-A480-D49AF44BE1C4}" name="PROVEEDOR" dataDxfId="43">
      <calculatedColumnFormula>IFERROR(+VLOOKUP(G8,Tabla1[#All],2,FALSE),"-")</calculatedColumnFormula>
    </tableColumn>
    <tableColumn id="2" xr3:uid="{EB0250CC-F5C5-4AFB-AAF8-189563C05739}" name="TIPO DOCUMENTO" dataDxfId="42"/>
    <tableColumn id="4" xr3:uid="{6EBCE577-3116-43E4-93DB-8E6613BB68FD}" name="NRO. DOCUMENTO" dataDxfId="41"/>
    <tableColumn id="13" xr3:uid="{32B116A4-C4C4-410F-8CE5-0C492AC6FBC5}" name="LINK DE DOCUMENTO" dataDxfId="40"/>
    <tableColumn id="37" xr3:uid="{0F38912E-B0CA-422E-8019-3DCFEBC90284}" name="DESCRIPCIÓN" dataDxfId="39"/>
    <tableColumn id="10" xr3:uid="{F579CF1B-72C9-4588-96D5-6D70637A0D10}" name="TIPO DE BIEN O SERVICIO" dataDxfId="38"/>
    <tableColumn id="38" xr3:uid="{7150057A-4651-44C3-8F26-4E7EBE7262DD}" name="TIPO DE ABONO" dataDxfId="37">
      <calculatedColumnFormula>IF(Tabla3[[#This Row],[NRO. DOI]]="","",(IF(Tabla3[[#This Row],[MONEDA]]="Soles",(+VLOOKUP(G8,Tabla1[#All],3,FALSE)),(+VLOOKUP(G8,Tabla6[#All],3,FALSE)))))</calculatedColumnFormula>
    </tableColumn>
    <tableColumn id="39" xr3:uid="{18C02B3A-0DCB-4982-BF2E-F3F714B3BCD3}" name="NRO. CUENTA" dataDxfId="36">
      <calculatedColumnFormula>IF(Tabla3[[#This Row],[NRO. DOI]]="","",(IF(Tabla3[[#This Row],[MONEDA]]="Soles",(+VLOOKUP(G8,Tabla1[#All],4,FALSE)),(+VLOOKUP(G8,Tabla6[#All],4,FALSE)))))</calculatedColumnFormula>
    </tableColumn>
    <tableColumn id="3" xr3:uid="{7D0E7617-9C22-4493-8AC9-BC57DE4B0903}" name="MONEDA" dataDxfId="35">
      <calculatedColumnFormula>+VLOOKUP(#REF!,BD!$Q$19:$R$25,2,FALSE)</calculatedColumnFormula>
    </tableColumn>
    <tableColumn id="19" xr3:uid="{8E2827F8-6994-4D96-BD13-32EEE42D1BBF}" name="TIPO DE CAMBIO" dataDxfId="34"/>
    <tableColumn id="7" xr3:uid="{F74D3FC4-1B10-40F1-9185-A065C891FD14}" name="MONTO BRUTO" dataDxfId="33" dataCellStyle="Millares"/>
    <tableColumn id="31" xr3:uid="{494445C6-B145-4AAC-A2A8-C00A492776FC}" name="MONTO BRUTO USD-SOLES" dataDxfId="32" dataCellStyle="Millares">
      <calculatedColumnFormula>+IF(Tabla3[[#This Row],[MONEDA]]="DOLARES",Tabla3[[#This Row],[MONTO BRUTO]]*Tabla3[[#This Row],[TIPO DE CAMBIO]],0)</calculatedColumnFormula>
    </tableColumn>
    <tableColumn id="8" xr3:uid="{4C40FDA1-BC57-4BB7-911B-F514E14CECB3}" name="DETRACCION" dataDxfId="31" dataCellStyle="Millares"/>
    <tableColumn id="9" xr3:uid="{15D5D718-7E43-4BAF-B291-E0C25BBD932B}" name="MONTO NETO A PAGAR" dataDxfId="30" dataCellStyle="Millares">
      <calculatedColumnFormula>IF(Tabla3[[#This Row],[TIPO DE BIEN O SERVICIO]]="",0,+Tabla3[[#This Row],[MONTO BRUTO]]-Tabla3[[#This Row],[DETRACCION]])</calculatedColumnFormula>
    </tableColumn>
    <tableColumn id="14" xr3:uid="{9D524F66-B7B0-4D9B-9BF0-B8AD72BD1EFE}" name="ESTADO DEL REQUERIMIENTO" dataDxfId="29" dataCellStyle="Millares"/>
    <tableColumn id="28" xr3:uid="{8BC5B4E5-C2C3-4083-B059-238A066638F4}" name="FECHA DE PAGO" dataDxfId="28"/>
    <tableColumn id="29" xr3:uid="{3F694F20-57A9-405D-B01C-A2F99F943B4E}" name="MONTO PAGADO" dataDxfId="27" dataCellStyle="Millares">
      <calculatedColumnFormula>IF(Tabla3[[#This Row],[TIPO DE BIEN O SERVICIO]]="",0,+Tabla3[[#This Row],[MONTO BRUTO]]-Tabla3[[#This Row],[DETRACCION]])</calculatedColumnFormula>
    </tableColumn>
    <tableColumn id="32" xr3:uid="{6DE6C723-BCAF-4759-A4F6-0CCB9FE70F40}" name="SALDO POR PAGAR" dataDxfId="26" dataCellStyle="Millares">
      <calculatedColumnFormula>+Tabla3[[#This Row],[MONTO NETO A PAGAR]]-Tabla3[[#This Row],[MONTO PAGADO]]</calculatedColumnFormula>
    </tableColumn>
    <tableColumn id="33" xr3:uid="{E9D4AE24-48CA-4A8D-90FB-DD5E00459099}" name="TIPO DE PAGO" dataDxfId="25" dataCellStyle="Millares">
      <calculatedColumnFormula>IF(Tabla3[[#This Row],[MONTO PAGADO]]=0,"",(+IF(Tabla3[[#This Row],[SALDO POR PAGAR]]=0,"TOTAL","PARCIAL")))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0E0895-B054-4101-AE6C-1925BF784341}" name="Tabla1" displayName="Tabla1" ref="B3:F267" totalsRowShown="0" headerRowDxfId="24" dataDxfId="22" headerRowBorderDxfId="23" tableBorderDxfId="21">
  <autoFilter ref="B3:F267" xr:uid="{D70E0895-B054-4101-AE6C-1925BF784341}"/>
  <tableColumns count="5">
    <tableColumn id="1" xr3:uid="{DFB19E66-8507-4D57-AAC8-6C0D12EC9600}" name="RUC / DNI" dataDxfId="20"/>
    <tableColumn id="2" xr3:uid="{35F191FC-EF08-408E-BFB1-868011D095F0}" name="RAZON SOCIAL" dataDxfId="19"/>
    <tableColumn id="3" xr3:uid="{C8F719DC-4824-4923-A38A-7793CB862FB5}" name="BANCO" dataDxfId="18"/>
    <tableColumn id="4" xr3:uid="{0E6F16BE-7D08-40E1-920B-02AB42589966}" name="CUENTA" dataDxfId="17"/>
    <tableColumn id="5" xr3:uid="{E1B53530-85A3-44A3-8116-B1120718A71F}" name="MONEDA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A480C2-E0A7-4974-8FDB-BC66192C6CF0}" name="Tabla4" displayName="Tabla4" ref="Q34:Q40" totalsRowShown="0" headerRowDxfId="15" dataDxfId="14">
  <autoFilter ref="Q34:Q40" xr:uid="{8AA480C2-E0A7-4974-8FDB-BC66192C6CF0}"/>
  <sortState xmlns:xlrd2="http://schemas.microsoft.com/office/spreadsheetml/2017/richdata2" ref="Q35:Q39">
    <sortCondition ref="Q35:Q39"/>
  </sortState>
  <tableColumns count="1">
    <tableColumn id="1" xr3:uid="{DF6F7851-6891-41CF-BD66-942AA277884F}" name="ESTADO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3C6337-684A-4C9D-8817-4BDE9C30FBFF}" name="Tabla5" displayName="Tabla5" ref="M4:N87" totalsRowShown="0" headerRowDxfId="12" tableBorderDxfId="11">
  <autoFilter ref="M4:N87" xr:uid="{603C6337-684A-4C9D-8817-4BDE9C30FBFF}"/>
  <tableColumns count="2">
    <tableColumn id="1" xr3:uid="{56586E17-4EC0-4692-9E69-EECB26EAD6FC}" name="CC" dataDxfId="10"/>
    <tableColumn id="2" xr3:uid="{CEAABF87-B648-4333-B0EE-C621BB691772}" name="NOMBRE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881B55-14D0-4199-8AAC-72C3712A0CE9}" name="Tabla6" displayName="Tabla6" ref="B299:F317" totalsRowShown="0" headerRowDxfId="8" headerRowBorderDxfId="7" tableBorderDxfId="6" totalsRowBorderDxfId="5">
  <autoFilter ref="B299:F317" xr:uid="{2F881B55-14D0-4199-8AAC-72C3712A0CE9}"/>
  <tableColumns count="5">
    <tableColumn id="1" xr3:uid="{ECA8158B-DB46-43F2-B13D-2EB2D11D55EE}" name="RUC / DNI"/>
    <tableColumn id="2" xr3:uid="{23735FE6-6FCB-4F83-AE0C-DC99C7D7DCBD}" name="RAZON SOCIAL" dataDxfId="4"/>
    <tableColumn id="3" xr3:uid="{67D92244-6288-40E2-A531-7FFB37D4B342}" name="BANCO" dataDxfId="3"/>
    <tableColumn id="4" xr3:uid="{36C73CC5-1DB3-4D49-A33F-C803E6E455B0}" name="CUENTA" dataDxfId="2"/>
    <tableColumn id="5" xr3:uid="{AAB2FFE9-BE76-49B4-825E-02408B94843B}" name="MONEDA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BB46B8-F15B-4311-89D6-743CE5B212AA}" name="Tabla2" displayName="Tabla2" ref="B5:F64" totalsRowShown="0">
  <autoFilter ref="B5:F64" xr:uid="{23BB46B8-F15B-4311-89D6-743CE5B212AA}"/>
  <tableColumns count="5">
    <tableColumn id="1" xr3:uid="{60C59DAD-6AE6-492C-8948-28147FB1E16E}" name="Categoría de Compra o Servicio"/>
    <tableColumn id="2" xr3:uid="{B8686387-8AAB-4B49-8B2F-8E2D57765A76}" name="Aplica Detracción"/>
    <tableColumn id="3" xr3:uid="{41DD4DA4-EAB4-42B7-A972-08A6417125D6}" name="%" dataDxfId="0"/>
    <tableColumn id="4" xr3:uid="{F894BF32-F25A-40CA-AF31-245B2E61EBCD}" name="Observaciones"/>
    <tableColumn id="5" xr3:uid="{F33E2978-82A5-4E37-96EF-FE77F68906F0}" name="Aplic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7" dT="2024-09-13T16:01:08.72" personId="{4E02419B-4670-4EC5-B1C0-9DAE44D6CFD0}" id="{25FBC4E3-0E86-4D93-AE94-BF090776B8F8}">
    <text>NO SE PUEDEN CONSIGNAR FECHA  EN EL SIGUIENTE FORMATO (XX/XX/XXX), SOLO SIN PARENTESIS, SIN ",":"
SIN COMAS,SIN PUNTO, SIN DOS PUNTOS
NINGUN CARACTER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umaedu-my.sharepoint.com/:b:/g/personal/recepciondefacturas_uma_edu_pe/IQCcRmFXCEgFSIMJRKzR8ItbAVjHS3ORNl-pAAPqDhlnEdM?e=1SRUJ4" TargetMode="External"/><Relationship Id="rId117" Type="http://schemas.openxmlformats.org/officeDocument/2006/relationships/hyperlink" Target="mailto:rafael.landauro@uma.edu.pe" TargetMode="External"/><Relationship Id="rId21" Type="http://schemas.openxmlformats.org/officeDocument/2006/relationships/hyperlink" Target="https://umaedu-my.sharepoint.com/:b:/g/personal/recepciondefacturas_uma_edu_pe/IQDyIEigR7_WQq1rld3f_x66AQh9xwKwWVYrhrR1HdfuduY?e=oSXJuR" TargetMode="External"/><Relationship Id="rId42" Type="http://schemas.openxmlformats.org/officeDocument/2006/relationships/hyperlink" Target="mailto:rafael.landauro@uma.edu.pe" TargetMode="External"/><Relationship Id="rId47" Type="http://schemas.openxmlformats.org/officeDocument/2006/relationships/hyperlink" Target="mailto:rafael.landauro@uma.edu.pe" TargetMode="External"/><Relationship Id="rId63" Type="http://schemas.openxmlformats.org/officeDocument/2006/relationships/hyperlink" Target="mailto:rafael.landauro@uma.edu.pe" TargetMode="External"/><Relationship Id="rId68" Type="http://schemas.openxmlformats.org/officeDocument/2006/relationships/hyperlink" Target="mailto:rafael.landauro@uma.edu.pe" TargetMode="External"/><Relationship Id="rId84" Type="http://schemas.openxmlformats.org/officeDocument/2006/relationships/hyperlink" Target="mailto:rafael.landauro@uma.edu.pe" TargetMode="External"/><Relationship Id="rId89" Type="http://schemas.openxmlformats.org/officeDocument/2006/relationships/hyperlink" Target="mailto:rafael.landauro@uma.edu.pe" TargetMode="External"/><Relationship Id="rId112" Type="http://schemas.openxmlformats.org/officeDocument/2006/relationships/hyperlink" Target="mailto:rafael.landauro@uma.edu.pe" TargetMode="External"/><Relationship Id="rId16" Type="http://schemas.openxmlformats.org/officeDocument/2006/relationships/hyperlink" Target="https://umaedu-my.sharepoint.com/:b:/g/personal/recepciondefacturas_uma_edu_pe/IQANnYsIaPFzSq8X7RksMEVoAYp7Jm-nSGV_ZpTsRRgAkxw?e=dHmujw" TargetMode="External"/><Relationship Id="rId107" Type="http://schemas.openxmlformats.org/officeDocument/2006/relationships/hyperlink" Target="mailto:rafael.landauro@uma.edu.pe" TargetMode="External"/><Relationship Id="rId11" Type="http://schemas.openxmlformats.org/officeDocument/2006/relationships/hyperlink" Target="https://umaedu-my.sharepoint.com/:b:/g/personal/recepciondefacturas_uma_edu_pe/IQALjKqKJB2ERqaLHPg-NNzQAbEZRdZHqXvIz_-7s-WKvss?e=cF610i" TargetMode="External"/><Relationship Id="rId32" Type="http://schemas.openxmlformats.org/officeDocument/2006/relationships/hyperlink" Target="https://umaedu-my.sharepoint.com/:b:/g/personal/recepciondefacturas_uma_edu_pe/IQBqcYI71FKkRJaPoPav6Mr6AcIu4Zut59swP_36RMdlHHY?e=fke3GE" TargetMode="External"/><Relationship Id="rId37" Type="http://schemas.openxmlformats.org/officeDocument/2006/relationships/hyperlink" Target="https://umaedu-my.sharepoint.com/:b:/g/personal/recepciondefacturas_uma_edu_pe/IQB2yCsQunPWRJ7i-3Vm8R6RAS_ZcGLBsItT5iF0Ux3GnAc?e=dTDcy2" TargetMode="External"/><Relationship Id="rId53" Type="http://schemas.openxmlformats.org/officeDocument/2006/relationships/hyperlink" Target="mailto:rafael.landauro@uma.edu.pe" TargetMode="External"/><Relationship Id="rId58" Type="http://schemas.openxmlformats.org/officeDocument/2006/relationships/hyperlink" Target="mailto:rafael.landauro@uma.edu.pe" TargetMode="External"/><Relationship Id="rId74" Type="http://schemas.openxmlformats.org/officeDocument/2006/relationships/hyperlink" Target="mailto:rafael.landauro@uma.edu.pe" TargetMode="External"/><Relationship Id="rId79" Type="http://schemas.openxmlformats.org/officeDocument/2006/relationships/hyperlink" Target="mailto:rafael.landauro@uma.edu.pe" TargetMode="External"/><Relationship Id="rId102" Type="http://schemas.openxmlformats.org/officeDocument/2006/relationships/hyperlink" Target="mailto:rafael.landauro@uma.edu.pe" TargetMode="External"/><Relationship Id="rId123" Type="http://schemas.openxmlformats.org/officeDocument/2006/relationships/drawing" Target="../drawings/drawing1.xml"/><Relationship Id="rId5" Type="http://schemas.openxmlformats.org/officeDocument/2006/relationships/hyperlink" Target="https://umaedu-my.sharepoint.com/:b:/g/personal/recepciondefacturas_uma_edu_pe/IQComXfwQua4R4dyVDmY3a3UATjJwGPlUtqISxrV5Xe-2cA?e=W0iJyy" TargetMode="External"/><Relationship Id="rId90" Type="http://schemas.openxmlformats.org/officeDocument/2006/relationships/hyperlink" Target="mailto:rafael.landauro@uma.edu.pe" TargetMode="External"/><Relationship Id="rId95" Type="http://schemas.openxmlformats.org/officeDocument/2006/relationships/hyperlink" Target="mailto:rafael.landauro@uma.edu.pe" TargetMode="External"/><Relationship Id="rId22" Type="http://schemas.openxmlformats.org/officeDocument/2006/relationships/hyperlink" Target="https://umaedu-my.sharepoint.com/:b:/g/personal/recepciondefacturas_uma_edu_pe/IQDt_wdNjNW-RrGrYvmqNQXfAencne_xbt7gQRz9TzcC-Qo?e=ohaX7m" TargetMode="External"/><Relationship Id="rId27" Type="http://schemas.openxmlformats.org/officeDocument/2006/relationships/hyperlink" Target="https://umaedu-my.sharepoint.com/:b:/g/personal/recepciondefacturas_uma_edu_pe/IQCuDQwSIEqkQa5NWU8QD3kXAdqQYQZmANabRwdIOakJwn0?e=znNmGJ" TargetMode="External"/><Relationship Id="rId43" Type="http://schemas.openxmlformats.org/officeDocument/2006/relationships/hyperlink" Target="mailto:rafael.landauro@uma.edu.pe" TargetMode="External"/><Relationship Id="rId48" Type="http://schemas.openxmlformats.org/officeDocument/2006/relationships/hyperlink" Target="mailto:rafael.landauro@uma.edu.pe" TargetMode="External"/><Relationship Id="rId64" Type="http://schemas.openxmlformats.org/officeDocument/2006/relationships/hyperlink" Target="mailto:rafael.landauro@uma.edu.pe" TargetMode="External"/><Relationship Id="rId69" Type="http://schemas.openxmlformats.org/officeDocument/2006/relationships/hyperlink" Target="mailto:rafael.landauro@uma.edu.pe" TargetMode="External"/><Relationship Id="rId113" Type="http://schemas.openxmlformats.org/officeDocument/2006/relationships/hyperlink" Target="mailto:rafael.landauro@uma.edu.pe" TargetMode="External"/><Relationship Id="rId118" Type="http://schemas.openxmlformats.org/officeDocument/2006/relationships/hyperlink" Target="mailto:rafael.landauro@uma.edu.pe" TargetMode="External"/><Relationship Id="rId80" Type="http://schemas.openxmlformats.org/officeDocument/2006/relationships/hyperlink" Target="mailto:rafael.landauro@uma.edu.pe" TargetMode="External"/><Relationship Id="rId85" Type="http://schemas.openxmlformats.org/officeDocument/2006/relationships/hyperlink" Target="mailto:rafael.landauro@uma.edu.pe" TargetMode="External"/><Relationship Id="rId12" Type="http://schemas.openxmlformats.org/officeDocument/2006/relationships/hyperlink" Target="https://umaedu-my.sharepoint.com/:b:/g/personal/recepciondefacturas_uma_edu_pe/IQArUU4Z3hjkR4L13hfCIDBXAbq05pA3AmswwsRfjjAjg6Y?e=16HniB" TargetMode="External"/><Relationship Id="rId17" Type="http://schemas.openxmlformats.org/officeDocument/2006/relationships/hyperlink" Target="https://umaedu-my.sharepoint.com/:b:/g/personal/recepciondefacturas_uma_edu_pe/IQAw3JME3hMGR7qO4YZSLq27Aeu-ZFRuGHkcd5AggSsk3RU?e=LMLHZS" TargetMode="External"/><Relationship Id="rId33" Type="http://schemas.openxmlformats.org/officeDocument/2006/relationships/hyperlink" Target="https://umaedu-my.sharepoint.com/:x:/g/personal/recepciondefacturas_uma_edu_pe/IQC47jDcUkE8S6DpQVz0UoueAURZKKoombA8VRODurnNf1w?e=6rvXjE" TargetMode="External"/><Relationship Id="rId38" Type="http://schemas.openxmlformats.org/officeDocument/2006/relationships/hyperlink" Target="https://umaedu-my.sharepoint.com/:b:/g/personal/recepciondefacturas_uma_edu_pe/IQB6WosALti0RJt5hZVnggT0AedqBmLQVwISive63Gg5OHg?e=iU84Ne" TargetMode="External"/><Relationship Id="rId59" Type="http://schemas.openxmlformats.org/officeDocument/2006/relationships/hyperlink" Target="mailto:rafael.landauro@uma.edu.pe" TargetMode="External"/><Relationship Id="rId103" Type="http://schemas.openxmlformats.org/officeDocument/2006/relationships/hyperlink" Target="mailto:rafael.landauro@uma.edu.pe" TargetMode="External"/><Relationship Id="rId108" Type="http://schemas.openxmlformats.org/officeDocument/2006/relationships/hyperlink" Target="mailto:rafael.landauro@uma.edu.pe" TargetMode="External"/><Relationship Id="rId124" Type="http://schemas.openxmlformats.org/officeDocument/2006/relationships/vmlDrawing" Target="../drawings/vmlDrawing1.vml"/><Relationship Id="rId54" Type="http://schemas.openxmlformats.org/officeDocument/2006/relationships/hyperlink" Target="mailto:rafael.landauro@uma.edu.pe" TargetMode="External"/><Relationship Id="rId70" Type="http://schemas.openxmlformats.org/officeDocument/2006/relationships/hyperlink" Target="mailto:rafael.landauro@uma.edu.pe" TargetMode="External"/><Relationship Id="rId75" Type="http://schemas.openxmlformats.org/officeDocument/2006/relationships/hyperlink" Target="mailto:rafael.landauro@uma.edu.pe" TargetMode="External"/><Relationship Id="rId91" Type="http://schemas.openxmlformats.org/officeDocument/2006/relationships/hyperlink" Target="mailto:rafael.landauro@uma.edu.pe" TargetMode="External"/><Relationship Id="rId96" Type="http://schemas.openxmlformats.org/officeDocument/2006/relationships/hyperlink" Target="mailto:rafael.landauro@uma.edu.pe" TargetMode="External"/><Relationship Id="rId1" Type="http://schemas.openxmlformats.org/officeDocument/2006/relationships/hyperlink" Target="https://umaedu-my.sharepoint.com/:b:/g/personal/recepciondefacturas_uma_edu_pe/IQDOi3X9SDHBTZdeyeIJ43JfAUFjeUiQBKhRKaMlDIzt92Q?e=7cJonv" TargetMode="External"/><Relationship Id="rId6" Type="http://schemas.openxmlformats.org/officeDocument/2006/relationships/hyperlink" Target="https://umaedu-my.sharepoint.com/:b:/g/personal/recepciondefacturas_uma_edu_pe/IQCx8YwdSWboR4jHSD6S5HprAb5ZVf_lvhoiQbFOTFNIKbU?e=ES1EBY" TargetMode="External"/><Relationship Id="rId23" Type="http://schemas.openxmlformats.org/officeDocument/2006/relationships/hyperlink" Target="https://umaedu-my.sharepoint.com/:b:/g/personal/recepciondefacturas_uma_edu_pe/IQDPmjJR0eryRZi1TttWQbsLAaNF-M1_gU0twM33SeN5uWw?e=xJklHt" TargetMode="External"/><Relationship Id="rId28" Type="http://schemas.openxmlformats.org/officeDocument/2006/relationships/hyperlink" Target="https://umaedu-my.sharepoint.com/:b:/g/personal/recepciondefacturas_uma_edu_pe/IQC3FvrUot-xTaRTbBZ0pmBlAQnaTyNNYzHGYdZaORB7ocY?e=7pAbdm" TargetMode="External"/><Relationship Id="rId49" Type="http://schemas.openxmlformats.org/officeDocument/2006/relationships/hyperlink" Target="mailto:rafael.landauro@uma.edu.pe" TargetMode="External"/><Relationship Id="rId114" Type="http://schemas.openxmlformats.org/officeDocument/2006/relationships/hyperlink" Target="mailto:rafael.landauro@uma.edu.pe" TargetMode="External"/><Relationship Id="rId119" Type="http://schemas.openxmlformats.org/officeDocument/2006/relationships/hyperlink" Target="mailto:rafael.landauro@uma.edu.pe" TargetMode="External"/><Relationship Id="rId44" Type="http://schemas.openxmlformats.org/officeDocument/2006/relationships/hyperlink" Target="mailto:rafael.landauro@uma.edu.pe" TargetMode="External"/><Relationship Id="rId60" Type="http://schemas.openxmlformats.org/officeDocument/2006/relationships/hyperlink" Target="mailto:rafael.landauro@uma.edu.pe" TargetMode="External"/><Relationship Id="rId65" Type="http://schemas.openxmlformats.org/officeDocument/2006/relationships/hyperlink" Target="mailto:rafael.landauro@uma.edu.pe" TargetMode="External"/><Relationship Id="rId81" Type="http://schemas.openxmlformats.org/officeDocument/2006/relationships/hyperlink" Target="mailto:rafael.landauro@uma.edu.pe" TargetMode="External"/><Relationship Id="rId86" Type="http://schemas.openxmlformats.org/officeDocument/2006/relationships/hyperlink" Target="mailto:rafael.landauro@uma.edu.pe" TargetMode="External"/><Relationship Id="rId13" Type="http://schemas.openxmlformats.org/officeDocument/2006/relationships/hyperlink" Target="https://umaedu-my.sharepoint.com/:w:/g/personal/recepciondefacturas_uma_edu_pe/IQDq229usGY3T6prGMLSutgpAYf7W2f3UB2cxWQ1xvn6-9w?e=RevdFR" TargetMode="External"/><Relationship Id="rId18" Type="http://schemas.openxmlformats.org/officeDocument/2006/relationships/hyperlink" Target="https://umaedu-my.sharepoint.com/:b:/g/personal/recepciondefacturas_uma_edu_pe/IQCPQHg-DTRUSr5Ba7jGWX_oAfyzUZN-1ax3pSmzIHPR5j8?e=GqHRUY" TargetMode="External"/><Relationship Id="rId39" Type="http://schemas.openxmlformats.org/officeDocument/2006/relationships/hyperlink" Target="https://umaedu-my.sharepoint.com/:b:/g/personal/recepciondefacturas_uma_edu_pe/IQCLvZKAT1thT7C9TFflO90fAbYu0Qe3m-tdSH4ecuCOd5o?e=MLRhHU" TargetMode="External"/><Relationship Id="rId109" Type="http://schemas.openxmlformats.org/officeDocument/2006/relationships/hyperlink" Target="mailto:rafael.landauro@uma.edu.pe" TargetMode="External"/><Relationship Id="rId34" Type="http://schemas.openxmlformats.org/officeDocument/2006/relationships/hyperlink" Target="https://umaedu-my.sharepoint.com/:x:/g/personal/recepciondefacturas_uma_edu_pe/IQD5xL_p3fJzTp9DcRr2jN5hAarLofa6WQzUTEnQZdk-7dY?e=mKgiVq" TargetMode="External"/><Relationship Id="rId50" Type="http://schemas.openxmlformats.org/officeDocument/2006/relationships/hyperlink" Target="mailto:rafael.landauro@uma.edu.pe" TargetMode="External"/><Relationship Id="rId55" Type="http://schemas.openxmlformats.org/officeDocument/2006/relationships/hyperlink" Target="mailto:rafael.landauro@uma.edu.pe" TargetMode="External"/><Relationship Id="rId76" Type="http://schemas.openxmlformats.org/officeDocument/2006/relationships/hyperlink" Target="mailto:rafael.landauro@uma.edu.pe" TargetMode="External"/><Relationship Id="rId97" Type="http://schemas.openxmlformats.org/officeDocument/2006/relationships/hyperlink" Target="mailto:rafael.landauro@uma.edu.pe" TargetMode="External"/><Relationship Id="rId104" Type="http://schemas.openxmlformats.org/officeDocument/2006/relationships/hyperlink" Target="mailto:rafael.landauro@uma.edu.pe" TargetMode="External"/><Relationship Id="rId120" Type="http://schemas.openxmlformats.org/officeDocument/2006/relationships/hyperlink" Target="mailto:rafael.landauro@uma.edu.pe" TargetMode="External"/><Relationship Id="rId125" Type="http://schemas.openxmlformats.org/officeDocument/2006/relationships/table" Target="../tables/table1.xml"/><Relationship Id="rId7" Type="http://schemas.openxmlformats.org/officeDocument/2006/relationships/hyperlink" Target="https://umaedu-my.sharepoint.com/:b:/g/personal/recepciondefacturas_uma_edu_pe/IQAtnW2_OJ7QQasYJCnZX6s_AWEmjHWtGzZ9ngUBXCJ_uM8?e=I4Ebov" TargetMode="External"/><Relationship Id="rId71" Type="http://schemas.openxmlformats.org/officeDocument/2006/relationships/hyperlink" Target="mailto:rafael.landauro@uma.edu.pe" TargetMode="External"/><Relationship Id="rId92" Type="http://schemas.openxmlformats.org/officeDocument/2006/relationships/hyperlink" Target="mailto:rafael.landauro@uma.edu.pe" TargetMode="External"/><Relationship Id="rId2" Type="http://schemas.openxmlformats.org/officeDocument/2006/relationships/hyperlink" Target="https://umaedu-my.sharepoint.com/:b:/g/personal/recepciondefacturas_uma_edu_pe/IQARE77We6SzQKdBbl2Z2c8WAZlURXB--rdgP9Ko_KJu_YQ?e=6s9LAe" TargetMode="External"/><Relationship Id="rId29" Type="http://schemas.openxmlformats.org/officeDocument/2006/relationships/hyperlink" Target="https://umaedu-my.sharepoint.com/:b:/g/personal/recepciondefacturas_uma_edu_pe/IQCl6qtfNCYYS5kN7ePkoOzuAWGKgTWoU-WEhordJVFp-Ow?e=iwans4" TargetMode="External"/><Relationship Id="rId24" Type="http://schemas.openxmlformats.org/officeDocument/2006/relationships/hyperlink" Target="https://umaedu-my.sharepoint.com/:b:/g/personal/recepciondefacturas_uma_edu_pe/IQBexzwe0jM5Q6jb26hd83gQAX6aErMmTE0O33zY-83v-E8?e=TzE4Bl" TargetMode="External"/><Relationship Id="rId40" Type="http://schemas.openxmlformats.org/officeDocument/2006/relationships/hyperlink" Target="https://umaedu-my.sharepoint.com/:b:/g/personal/recepciondefacturas_uma_edu_pe/IQDHohBhwPyZRJ4Lsw76Ha2jAYV4fTvtjdErNinHND7054E?e=xNg4qR" TargetMode="External"/><Relationship Id="rId45" Type="http://schemas.openxmlformats.org/officeDocument/2006/relationships/hyperlink" Target="mailto:rafael.landauro@uma.edu.pe" TargetMode="External"/><Relationship Id="rId66" Type="http://schemas.openxmlformats.org/officeDocument/2006/relationships/hyperlink" Target="mailto:rafael.landauro@uma.edu.pe" TargetMode="External"/><Relationship Id="rId87" Type="http://schemas.openxmlformats.org/officeDocument/2006/relationships/hyperlink" Target="mailto:rafael.landauro@uma.edu.pe" TargetMode="External"/><Relationship Id="rId110" Type="http://schemas.openxmlformats.org/officeDocument/2006/relationships/hyperlink" Target="mailto:rafael.landauro@uma.edu.pe" TargetMode="External"/><Relationship Id="rId115" Type="http://schemas.openxmlformats.org/officeDocument/2006/relationships/hyperlink" Target="mailto:rafael.landauro@uma.edu.pe" TargetMode="External"/><Relationship Id="rId61" Type="http://schemas.openxmlformats.org/officeDocument/2006/relationships/hyperlink" Target="mailto:rafael.landauro@uma.edu.pe" TargetMode="External"/><Relationship Id="rId82" Type="http://schemas.openxmlformats.org/officeDocument/2006/relationships/hyperlink" Target="mailto:rafael.landauro@uma.edu.pe" TargetMode="External"/><Relationship Id="rId19" Type="http://schemas.openxmlformats.org/officeDocument/2006/relationships/hyperlink" Target="https://umaedu-my.sharepoint.com/:b:/g/personal/recepciondefacturas_uma_edu_pe/IQCQDVGb5qPVRZNXmhfp_vBLAR3PC2acU7XktOhvdZ3yqoc?e=dhNTZo" TargetMode="External"/><Relationship Id="rId14" Type="http://schemas.openxmlformats.org/officeDocument/2006/relationships/hyperlink" Target="https://umaedu-my.sharepoint.com/:b:/g/personal/recepciondefacturas_uma_edu_pe/IQB57C1TrdUDSLomJrqe8CeJATAplVRFumcywWZ88nllI3M?e=phhEtU" TargetMode="External"/><Relationship Id="rId30" Type="http://schemas.openxmlformats.org/officeDocument/2006/relationships/hyperlink" Target="https://umaedu-my.sharepoint.com/:b:/g/personal/recepciondefacturas_uma_edu_pe/IQBQ6a1HmwVjSJqH4rsnZpxcATAh_0e_EkEJB_HIWFYbglE?e=QHwv9p" TargetMode="External"/><Relationship Id="rId35" Type="http://schemas.openxmlformats.org/officeDocument/2006/relationships/hyperlink" Target="https://umaedu-my.sharepoint.com/:b:/g/personal/recepciondefacturas_uma_edu_pe/IQBNEHfbMMFRSJbwlLASSQklAag3LMPmaycxysrCSR9VCjY?e=AlaarL" TargetMode="External"/><Relationship Id="rId56" Type="http://schemas.openxmlformats.org/officeDocument/2006/relationships/hyperlink" Target="mailto:rafael.landauro@uma.edu.pe" TargetMode="External"/><Relationship Id="rId77" Type="http://schemas.openxmlformats.org/officeDocument/2006/relationships/hyperlink" Target="mailto:rafael.landauro@uma.edu.pe" TargetMode="External"/><Relationship Id="rId100" Type="http://schemas.openxmlformats.org/officeDocument/2006/relationships/hyperlink" Target="mailto:rafael.landauro@uma.edu.pe" TargetMode="External"/><Relationship Id="rId105" Type="http://schemas.openxmlformats.org/officeDocument/2006/relationships/hyperlink" Target="mailto:rafael.landauro@uma.edu.pe" TargetMode="External"/><Relationship Id="rId126" Type="http://schemas.openxmlformats.org/officeDocument/2006/relationships/comments" Target="../comments1.xml"/><Relationship Id="rId8" Type="http://schemas.openxmlformats.org/officeDocument/2006/relationships/hyperlink" Target="https://umaedu-my.sharepoint.com/:b:/g/personal/recepciondefacturas_uma_edu_pe/IQA2c1eay3xnQ54RcNNSzAEPAdM71LeCdWqEGcO6bIceLtM?e=Z9XC9O" TargetMode="External"/><Relationship Id="rId51" Type="http://schemas.openxmlformats.org/officeDocument/2006/relationships/hyperlink" Target="mailto:rafael.landauro@uma.edu.pe" TargetMode="External"/><Relationship Id="rId72" Type="http://schemas.openxmlformats.org/officeDocument/2006/relationships/hyperlink" Target="mailto:rafael.landauro@uma.edu.pe" TargetMode="External"/><Relationship Id="rId93" Type="http://schemas.openxmlformats.org/officeDocument/2006/relationships/hyperlink" Target="mailto:rafael.landauro@uma.edu.pe" TargetMode="External"/><Relationship Id="rId98" Type="http://schemas.openxmlformats.org/officeDocument/2006/relationships/hyperlink" Target="mailto:rafael.landauro@uma.edu.pe" TargetMode="External"/><Relationship Id="rId121" Type="http://schemas.openxmlformats.org/officeDocument/2006/relationships/hyperlink" Target="mailto:rafael.landauro@uma.edu.pe" TargetMode="External"/><Relationship Id="rId3" Type="http://schemas.openxmlformats.org/officeDocument/2006/relationships/hyperlink" Target="https://umaedu-my.sharepoint.com/:b:/g/personal/recepciondefacturas_uma_edu_pe/IQBaQNL9Z45ITJyngeFThhrVAXihzwLF-H3mdpYDf51nK2I?e=cex1w8" TargetMode="External"/><Relationship Id="rId25" Type="http://schemas.openxmlformats.org/officeDocument/2006/relationships/hyperlink" Target="https://umaedu-my.sharepoint.com/:b:/g/personal/recepciondefacturas_uma_edu_pe/IQAKT2AYR3aDSoBX87Llfrx6Ac_RAqPdOoPkuZE0l1qnxbs?e=yltT3N" TargetMode="External"/><Relationship Id="rId46" Type="http://schemas.openxmlformats.org/officeDocument/2006/relationships/hyperlink" Target="mailto:rafael.landauro@uma.edu.pe" TargetMode="External"/><Relationship Id="rId67" Type="http://schemas.openxmlformats.org/officeDocument/2006/relationships/hyperlink" Target="mailto:rafael.landauro@uma.edu.pe" TargetMode="External"/><Relationship Id="rId116" Type="http://schemas.openxmlformats.org/officeDocument/2006/relationships/hyperlink" Target="mailto:rafael.landauro@uma.edu.pe" TargetMode="External"/><Relationship Id="rId20" Type="http://schemas.openxmlformats.org/officeDocument/2006/relationships/hyperlink" Target="https://umaedu-my.sharepoint.com/:b:/g/personal/recepciondefacturas_uma_edu_pe/IQDTrwJOZ4TgTYoOE62fmpRcAdOmiRr8hYhHJ8SEA95Sj_Q?e=r8OFnI" TargetMode="External"/><Relationship Id="rId41" Type="http://schemas.openxmlformats.org/officeDocument/2006/relationships/hyperlink" Target="mailto:rafael.landauro@uma.edu.pe" TargetMode="External"/><Relationship Id="rId62" Type="http://schemas.openxmlformats.org/officeDocument/2006/relationships/hyperlink" Target="mailto:rafael.landauro@uma.edu.pe" TargetMode="External"/><Relationship Id="rId83" Type="http://schemas.openxmlformats.org/officeDocument/2006/relationships/hyperlink" Target="mailto:rafael.landauro@uma.edu.pe" TargetMode="External"/><Relationship Id="rId88" Type="http://schemas.openxmlformats.org/officeDocument/2006/relationships/hyperlink" Target="mailto:rafael.landauro@uma.edu.pe" TargetMode="External"/><Relationship Id="rId111" Type="http://schemas.openxmlformats.org/officeDocument/2006/relationships/hyperlink" Target="mailto:rafael.landauro@uma.edu.pe" TargetMode="External"/><Relationship Id="rId15" Type="http://schemas.openxmlformats.org/officeDocument/2006/relationships/hyperlink" Target="https://umaedu-my.sharepoint.com/:b:/g/personal/recepciondefacturas_uma_edu_pe/IQAO1XR1Aj8UTYi4VAaUb7MCAUHWA1a2Qxh8QWCVLgo5vAU?e=SVAoPH" TargetMode="External"/><Relationship Id="rId36" Type="http://schemas.openxmlformats.org/officeDocument/2006/relationships/hyperlink" Target="https://umaedu-my.sharepoint.com/:b:/g/personal/recepciondefacturas_uma_edu_pe/IQDbNMEiz02KQ5Spi5p1j1YsAXWBQpmMUeNXRju492PQJ44?e=PIfl5W" TargetMode="External"/><Relationship Id="rId57" Type="http://schemas.openxmlformats.org/officeDocument/2006/relationships/hyperlink" Target="mailto:rafael.landauro@uma.edu.pe" TargetMode="External"/><Relationship Id="rId106" Type="http://schemas.openxmlformats.org/officeDocument/2006/relationships/hyperlink" Target="mailto:rafael.landauro@uma.edu.pe" TargetMode="External"/><Relationship Id="rId127" Type="http://schemas.microsoft.com/office/2017/10/relationships/threadedComment" Target="../threadedComments/threadedComment1.xml"/><Relationship Id="rId10" Type="http://schemas.openxmlformats.org/officeDocument/2006/relationships/hyperlink" Target="https://umaedu-my.sharepoint.com/:b:/g/personal/recepciondefacturas_uma_edu_pe/IQB4iMeH-CPdQpyeQg4-3jPmAWMQIUKQurdfDntW0kKrWxQ?e=izVbHL" TargetMode="External"/><Relationship Id="rId31" Type="http://schemas.openxmlformats.org/officeDocument/2006/relationships/hyperlink" Target="https://umaedu-my.sharepoint.com/:b:/g/personal/recepciondefacturas_uma_edu_pe/IQB78hID29qrQLgKUKcOenZpAY0L3dvel9BuB83yh6EawO0?e=AfUbNe" TargetMode="External"/><Relationship Id="rId52" Type="http://schemas.openxmlformats.org/officeDocument/2006/relationships/hyperlink" Target="mailto:rafael.landauro@uma.edu.pe" TargetMode="External"/><Relationship Id="rId73" Type="http://schemas.openxmlformats.org/officeDocument/2006/relationships/hyperlink" Target="mailto:rafael.landauro@uma.edu.pe" TargetMode="External"/><Relationship Id="rId78" Type="http://schemas.openxmlformats.org/officeDocument/2006/relationships/hyperlink" Target="mailto:rafael.landauro@uma.edu.pe" TargetMode="External"/><Relationship Id="rId94" Type="http://schemas.openxmlformats.org/officeDocument/2006/relationships/hyperlink" Target="mailto:rafael.landauro@uma.edu.pe" TargetMode="External"/><Relationship Id="rId99" Type="http://schemas.openxmlformats.org/officeDocument/2006/relationships/hyperlink" Target="mailto:rafael.landauro@uma.edu.pe" TargetMode="External"/><Relationship Id="rId101" Type="http://schemas.openxmlformats.org/officeDocument/2006/relationships/hyperlink" Target="mailto:rafael.landauro@uma.edu.pe" TargetMode="External"/><Relationship Id="rId122" Type="http://schemas.openxmlformats.org/officeDocument/2006/relationships/printerSettings" Target="../printerSettings/printerSettings1.bin"/><Relationship Id="rId4" Type="http://schemas.openxmlformats.org/officeDocument/2006/relationships/hyperlink" Target="https://umaedu-my.sharepoint.com/:b:/g/personal/recepciondefacturas_uma_edu_pe/IQCys8iSy-dwQJPhbIy2rSpkASaoiSAJZCMvcMmFYcCMCZg?e=epqCM9" TargetMode="External"/><Relationship Id="rId9" Type="http://schemas.openxmlformats.org/officeDocument/2006/relationships/hyperlink" Target="https://umaedu-my.sharepoint.com/:b:/g/personal/recepciondefacturas_uma_edu_pe/IQBJj5MFvx-1QIxj_LtvXlkIAdyNgm8rNszuEclTXoLU2fI?e=UYZVq1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recepciondefacturas@uma.edu.pe" TargetMode="External"/><Relationship Id="rId1" Type="http://schemas.openxmlformats.org/officeDocument/2006/relationships/hyperlink" Target="mailto:recepciondefacturas@uma.edu.pe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recepciondefacturas@uma.edu.pe" TargetMode="External"/><Relationship Id="rId1" Type="http://schemas.openxmlformats.org/officeDocument/2006/relationships/hyperlink" Target="mailto:recepciondefacturas@uma.edu.pe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hyperlink" Target="mailto:recepciondefacturas@uma.edu.pe" TargetMode="External"/><Relationship Id="rId1" Type="http://schemas.openxmlformats.org/officeDocument/2006/relationships/hyperlink" Target="mailto:recepciondefacturas@uma.edu.pe" TargetMode="Externa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08733-9156-4904-9888-C33DC28A2319}">
  <sheetPr codeName="Hoja1"/>
  <dimension ref="A1:Z106"/>
  <sheetViews>
    <sheetView showGridLines="0" tabSelected="1" topLeftCell="L1" zoomScale="70" zoomScaleNormal="70" workbookViewId="0">
      <selection activeCell="T14" sqref="T14:T85"/>
    </sheetView>
  </sheetViews>
  <sheetFormatPr baseColWidth="10" defaultColWidth="9.140625" defaultRowHeight="15" x14ac:dyDescent="0.25"/>
  <cols>
    <col min="1" max="1" width="6.5703125" style="65" customWidth="1"/>
    <col min="2" max="2" width="23" style="92" bestFit="1" customWidth="1"/>
    <col min="3" max="3" width="23" style="102" bestFit="1" customWidth="1"/>
    <col min="4" max="4" width="36.85546875" style="65" bestFit="1" customWidth="1"/>
    <col min="5" max="5" width="40.5703125" style="65" bestFit="1" customWidth="1"/>
    <col min="6" max="6" width="25.28515625" style="93" customWidth="1"/>
    <col min="7" max="7" width="21.28515625" style="101" bestFit="1" customWidth="1"/>
    <col min="8" max="8" width="61.140625" style="65" bestFit="1" customWidth="1"/>
    <col min="9" max="9" width="31.140625" style="102" bestFit="1" customWidth="1"/>
    <col min="10" max="10" width="34.7109375" style="103" bestFit="1" customWidth="1"/>
    <col min="11" max="11" width="70.7109375" style="65" customWidth="1"/>
    <col min="12" max="12" width="88" style="104" bestFit="1" customWidth="1"/>
    <col min="13" max="13" width="56.85546875" style="65" bestFit="1" customWidth="1"/>
    <col min="14" max="14" width="25.140625" style="65" customWidth="1"/>
    <col min="15" max="15" width="27.7109375" style="94" bestFit="1" customWidth="1"/>
    <col min="16" max="16" width="21.28515625" style="102" bestFit="1" customWidth="1"/>
    <col min="17" max="17" width="26" style="102" customWidth="1"/>
    <col min="18" max="18" width="30.140625" style="67" bestFit="1" customWidth="1"/>
    <col min="19" max="19" width="29.42578125" style="67" bestFit="1" customWidth="1"/>
    <col min="20" max="20" width="27" style="67" bestFit="1" customWidth="1"/>
    <col min="21" max="21" width="30.140625" style="67" bestFit="1" customWidth="1"/>
    <col min="22" max="22" width="46.28515625" style="65" bestFit="1" customWidth="1"/>
    <col min="23" max="23" width="23" style="65" bestFit="1" customWidth="1"/>
    <col min="24" max="24" width="21.5703125" style="96" bestFit="1" customWidth="1"/>
    <col min="25" max="25" width="24.85546875" style="96" bestFit="1" customWidth="1"/>
    <col min="26" max="26" width="28.7109375" style="97" bestFit="1" customWidth="1"/>
    <col min="27" max="16384" width="9.140625" style="65"/>
  </cols>
  <sheetData>
    <row r="1" spans="1:26" x14ac:dyDescent="0.25">
      <c r="C1" s="92"/>
      <c r="D1" s="92"/>
      <c r="E1" s="92"/>
      <c r="G1" s="94"/>
      <c r="H1" s="92"/>
      <c r="I1" s="92"/>
      <c r="J1" s="95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</row>
    <row r="2" spans="1:26" x14ac:dyDescent="0.25">
      <c r="C2" s="92"/>
      <c r="D2" s="92"/>
      <c r="E2" s="92"/>
      <c r="G2" s="94"/>
      <c r="H2" s="92"/>
      <c r="I2" s="92"/>
      <c r="J2" s="95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</row>
    <row r="3" spans="1:26" x14ac:dyDescent="0.25">
      <c r="C3" s="92"/>
      <c r="D3" s="92"/>
      <c r="E3" s="92"/>
      <c r="G3" s="94"/>
      <c r="H3" s="92"/>
      <c r="I3" s="92"/>
      <c r="J3" s="95"/>
      <c r="K3" s="92"/>
      <c r="L3" s="92"/>
      <c r="M3" s="92"/>
      <c r="N3" s="92"/>
      <c r="O3" s="92"/>
      <c r="P3" s="92"/>
      <c r="Q3" s="92"/>
      <c r="R3" s="92"/>
      <c r="S3" s="92"/>
      <c r="T3" s="96"/>
      <c r="U3" s="92"/>
      <c r="V3" s="92"/>
      <c r="W3" s="92"/>
    </row>
    <row r="4" spans="1:26" x14ac:dyDescent="0.25">
      <c r="A4" s="92" t="s">
        <v>0</v>
      </c>
      <c r="C4" s="92"/>
      <c r="D4" s="92"/>
      <c r="E4" s="92"/>
      <c r="G4" s="94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</row>
    <row r="5" spans="1:26" s="114" customFormat="1" x14ac:dyDescent="0.25">
      <c r="A5" s="114" t="s">
        <v>1248</v>
      </c>
      <c r="B5" s="115"/>
      <c r="C5" s="115"/>
      <c r="D5" s="115"/>
      <c r="E5" s="118"/>
      <c r="F5" s="120" t="s">
        <v>1262</v>
      </c>
      <c r="G5" s="121"/>
      <c r="H5" s="115"/>
      <c r="I5" s="115"/>
      <c r="J5" s="122"/>
      <c r="K5" s="115"/>
      <c r="L5" s="115"/>
      <c r="M5" s="118"/>
      <c r="N5" s="115" t="s">
        <v>1289</v>
      </c>
      <c r="O5" s="115"/>
      <c r="P5" s="115"/>
      <c r="Q5" s="124" t="s">
        <v>1290</v>
      </c>
      <c r="R5" s="115"/>
      <c r="S5" s="115"/>
      <c r="T5" s="115"/>
      <c r="U5" s="118"/>
      <c r="V5" s="115" t="s">
        <v>1263</v>
      </c>
      <c r="W5" s="115"/>
      <c r="X5" s="116"/>
      <c r="Y5" s="116"/>
      <c r="Z5" s="117"/>
    </row>
    <row r="6" spans="1:26" x14ac:dyDescent="0.25">
      <c r="A6" s="65">
        <v>1</v>
      </c>
      <c r="B6" s="66">
        <f>+A6+1</f>
        <v>2</v>
      </c>
      <c r="C6" s="66">
        <f t="shared" ref="C6:Z6" si="0">+B6+1</f>
        <v>3</v>
      </c>
      <c r="D6" s="66">
        <f t="shared" si="0"/>
        <v>4</v>
      </c>
      <c r="E6" s="119">
        <f t="shared" si="0"/>
        <v>5</v>
      </c>
      <c r="F6" s="123">
        <f t="shared" si="0"/>
        <v>6</v>
      </c>
      <c r="G6" s="66">
        <f t="shared" si="0"/>
        <v>7</v>
      </c>
      <c r="H6" s="66">
        <f t="shared" si="0"/>
        <v>8</v>
      </c>
      <c r="I6" s="66">
        <f t="shared" si="0"/>
        <v>9</v>
      </c>
      <c r="J6" s="66">
        <f t="shared" si="0"/>
        <v>10</v>
      </c>
      <c r="K6" s="66">
        <f t="shared" si="0"/>
        <v>11</v>
      </c>
      <c r="L6" s="66">
        <f t="shared" si="0"/>
        <v>12</v>
      </c>
      <c r="M6" s="119">
        <f t="shared" si="0"/>
        <v>13</v>
      </c>
      <c r="N6" s="66">
        <f t="shared" si="0"/>
        <v>14</v>
      </c>
      <c r="O6" s="66">
        <f t="shared" si="0"/>
        <v>15</v>
      </c>
      <c r="P6" s="66">
        <f t="shared" si="0"/>
        <v>16</v>
      </c>
      <c r="Q6" s="123">
        <f t="shared" si="0"/>
        <v>17</v>
      </c>
      <c r="R6" s="66">
        <f t="shared" si="0"/>
        <v>18</v>
      </c>
      <c r="S6" s="66">
        <f t="shared" si="0"/>
        <v>19</v>
      </c>
      <c r="T6" s="66">
        <f t="shared" si="0"/>
        <v>20</v>
      </c>
      <c r="U6" s="119">
        <f t="shared" si="0"/>
        <v>21</v>
      </c>
      <c r="V6" s="66">
        <f t="shared" si="0"/>
        <v>22</v>
      </c>
      <c r="W6" s="66">
        <f t="shared" si="0"/>
        <v>23</v>
      </c>
      <c r="X6" s="66">
        <f t="shared" si="0"/>
        <v>24</v>
      </c>
      <c r="Y6" s="66">
        <f t="shared" si="0"/>
        <v>25</v>
      </c>
      <c r="Z6" s="66">
        <f t="shared" si="0"/>
        <v>26</v>
      </c>
    </row>
    <row r="7" spans="1:26" s="108" customFormat="1" ht="49.5" customHeight="1" x14ac:dyDescent="0.25">
      <c r="A7" s="108" t="s">
        <v>1</v>
      </c>
      <c r="B7" s="109" t="s">
        <v>2</v>
      </c>
      <c r="C7" s="108" t="s">
        <v>3</v>
      </c>
      <c r="D7" s="108" t="s">
        <v>17</v>
      </c>
      <c r="E7" s="108" t="s">
        <v>1088</v>
      </c>
      <c r="F7" s="125" t="s">
        <v>6</v>
      </c>
      <c r="G7" s="126" t="s">
        <v>7</v>
      </c>
      <c r="H7" s="126" t="s">
        <v>8</v>
      </c>
      <c r="I7" s="108" t="s">
        <v>4</v>
      </c>
      <c r="J7" s="108" t="s">
        <v>5</v>
      </c>
      <c r="K7" s="108" t="s">
        <v>16</v>
      </c>
      <c r="L7" s="108" t="s">
        <v>11</v>
      </c>
      <c r="M7" s="127" t="s">
        <v>1091</v>
      </c>
      <c r="N7" s="108" t="s">
        <v>12</v>
      </c>
      <c r="O7" s="108" t="s">
        <v>13</v>
      </c>
      <c r="P7" s="108" t="s">
        <v>9</v>
      </c>
      <c r="Q7" s="125" t="s">
        <v>1216</v>
      </c>
      <c r="R7" s="110" t="s">
        <v>10</v>
      </c>
      <c r="S7" s="108" t="s">
        <v>1217</v>
      </c>
      <c r="T7" s="108" t="s">
        <v>1213</v>
      </c>
      <c r="U7" s="127" t="s">
        <v>1244</v>
      </c>
      <c r="V7" s="108" t="s">
        <v>1264</v>
      </c>
      <c r="W7" s="108" t="s">
        <v>14</v>
      </c>
      <c r="X7" s="111" t="s">
        <v>15</v>
      </c>
      <c r="Y7" s="108" t="s">
        <v>1245</v>
      </c>
      <c r="Z7" s="108" t="s">
        <v>1265</v>
      </c>
    </row>
    <row r="8" spans="1:26" x14ac:dyDescent="0.25">
      <c r="A8" s="65">
        <v>1</v>
      </c>
      <c r="B8" s="98">
        <v>46188</v>
      </c>
      <c r="C8" s="99">
        <v>46186</v>
      </c>
      <c r="D8" s="65" t="s">
        <v>1292</v>
      </c>
      <c r="E8" s="100" t="s">
        <v>1090</v>
      </c>
      <c r="F8" s="128" t="s">
        <v>20</v>
      </c>
      <c r="G8" s="101" t="s">
        <v>21</v>
      </c>
      <c r="H8" s="65" t="str">
        <f>IFERROR(+VLOOKUP(G8,Tabla1[#All],2,FALSE),"-")</f>
        <v>LINE OF DESIGN S.A.C.</v>
      </c>
      <c r="I8" s="102" t="s">
        <v>18</v>
      </c>
      <c r="J8" s="103" t="s">
        <v>19</v>
      </c>
      <c r="L8" s="104" t="s">
        <v>23</v>
      </c>
      <c r="M8" s="65" t="s">
        <v>1214</v>
      </c>
      <c r="N8" s="130" t="str">
        <f>IF(Tabla3[[#This Row],[NRO. DOI]]="","",(IF(Tabla3[[#This Row],[MONEDA]]="Soles",(+VLOOKUP(G8,Tabla1[#All],3,FALSE)),(+VLOOKUP(G8,Tabla6[#All],3,FALSE)))))</f>
        <v>OTRO BANCO</v>
      </c>
      <c r="O8" s="65" t="str">
        <f>IF(Tabla3[[#This Row],[NRO. DOI]]="","",(IF(Tabla3[[#This Row],[MONEDA]]="Soles",(+VLOOKUP(G8,Tabla1[#All],4,FALSE)),(+VLOOKUP(G8,Tabla6[#All],4,FALSE)))))</f>
        <v>00219400988835608199</v>
      </c>
      <c r="P8" s="102" t="s">
        <v>22</v>
      </c>
      <c r="Q8" s="131"/>
      <c r="R8" s="67">
        <v>2700</v>
      </c>
      <c r="S8" s="91">
        <f>+IF(Tabla3[[#This Row],[MONEDA]]="DOLARES",Tabla3[[#This Row],[MONTO BRUTO]]*Tabla3[[#This Row],[TIPO DE CAMBIO]],0)</f>
        <v>0</v>
      </c>
      <c r="T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8" s="91">
        <f>IF(Tabla3[[#This Row],[TIPO DE BIEN O SERVICIO]]="",0,+Tabla3[[#This Row],[MONTO BRUTO]]-Tabla3[[#This Row],[DETRACCION]])</f>
        <v>2700</v>
      </c>
      <c r="V8" s="130" t="s">
        <v>24</v>
      </c>
      <c r="W8" s="98"/>
      <c r="X8" s="91">
        <f>IF(Tabla3[[#This Row],[TIPO DE BIEN O SERVICIO]]="",0,+Tabla3[[#This Row],[MONTO BRUTO]]-Tabla3[[#This Row],[DETRACCION]])</f>
        <v>2700</v>
      </c>
      <c r="Y8" s="96">
        <f>+Tabla3[[#This Row],[MONTO NETO A PAGAR]]-Tabla3[[#This Row],[MONTO PAGADO]]</f>
        <v>0</v>
      </c>
      <c r="Z8" s="97" t="str">
        <f>IF(Tabla3[[#This Row],[MONTO PAGADO]]=0,"",(+IF(Tabla3[[#This Row],[SALDO POR PAGAR]]=0,"TOTAL","PARCIAL")))</f>
        <v>TOTAL</v>
      </c>
    </row>
    <row r="9" spans="1:26" x14ac:dyDescent="0.25">
      <c r="A9" s="65">
        <v>2</v>
      </c>
      <c r="B9" s="98">
        <v>46168</v>
      </c>
      <c r="C9" s="99">
        <v>46168</v>
      </c>
      <c r="D9" s="65" t="s">
        <v>1089</v>
      </c>
      <c r="E9" s="100" t="s">
        <v>1090</v>
      </c>
      <c r="F9" s="128" t="s">
        <v>20</v>
      </c>
      <c r="G9" s="101" t="s">
        <v>26</v>
      </c>
      <c r="H9" s="65" t="str">
        <f>IFERROR(+VLOOKUP(G9,Tabla1[#All],2,FALSE),"-")</f>
        <v>CLYDE PUBLICIDAD S.A.C.</v>
      </c>
      <c r="I9" s="102" t="s">
        <v>18</v>
      </c>
      <c r="J9" s="103" t="s">
        <v>25</v>
      </c>
      <c r="L9" s="104" t="s">
        <v>28</v>
      </c>
      <c r="M9" s="65" t="s">
        <v>1214</v>
      </c>
      <c r="N9" s="130" t="str">
        <f>IF(Tabla3[[#This Row],[NRO. DOI]]="","",(IF(Tabla3[[#This Row],[MONEDA]]="Soles",(+VLOOKUP(G9,Tabla1[#All],3,FALSE)),(+VLOOKUP(G9,Tabla6[#All],3,FALSE)))))</f>
        <v>OTRO BANCO</v>
      </c>
      <c r="O9" s="65" t="str">
        <f>IF(Tabla3[[#This Row],[NRO. DOI]]="","",(IF(Tabla3[[#This Row],[MONEDA]]="Soles",(+VLOOKUP(G9,Tabla1[#All],4,FALSE)),(+VLOOKUP(G9,Tabla6[#All],4,FALSE)))))</f>
        <v>00219300713694516113</v>
      </c>
      <c r="P9" s="102" t="s">
        <v>27</v>
      </c>
      <c r="Q9" s="132">
        <v>3.5</v>
      </c>
      <c r="R9" s="91">
        <v>1652</v>
      </c>
      <c r="S9" s="91">
        <f>+IF(Tabla3[[#This Row],[MONEDA]]="DOLARES",Tabla3[[#This Row],[MONTO BRUTO]]*Tabla3[[#This Row],[TIPO DE CAMBIO]],0)</f>
        <v>5782</v>
      </c>
      <c r="T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9" s="91">
        <f>IF(Tabla3[[#This Row],[TIPO DE BIEN O SERVICIO]]="",0,+Tabla3[[#This Row],[MONTO BRUTO]]-Tabla3[[#This Row],[DETRACCION]])</f>
        <v>1652</v>
      </c>
      <c r="V9" s="130" t="s">
        <v>217</v>
      </c>
      <c r="W9" s="98"/>
      <c r="X9" s="91">
        <f>IF(Tabla3[[#This Row],[TIPO DE BIEN O SERVICIO]]="",0,+Tabla3[[#This Row],[MONTO BRUTO]]-Tabla3[[#This Row],[DETRACCION]])</f>
        <v>1652</v>
      </c>
      <c r="Y9" s="96">
        <f>+Tabla3[[#This Row],[MONTO NETO A PAGAR]]-Tabla3[[#This Row],[MONTO PAGADO]]</f>
        <v>0</v>
      </c>
      <c r="Z9" s="97" t="str">
        <f>IF(Tabla3[[#This Row],[MONTO PAGADO]]=0,"",(+IF(Tabla3[[#This Row],[SALDO POR PAGAR]]=0,"TOTAL","PARCIAL")))</f>
        <v>TOTAL</v>
      </c>
    </row>
    <row r="10" spans="1:26" x14ac:dyDescent="0.25">
      <c r="A10" s="65">
        <v>3</v>
      </c>
      <c r="B10" s="98">
        <v>46179</v>
      </c>
      <c r="C10" s="99">
        <v>46176</v>
      </c>
      <c r="D10" s="65" t="s">
        <v>1089</v>
      </c>
      <c r="E10" s="100" t="s">
        <v>1090</v>
      </c>
      <c r="F10" s="128" t="s">
        <v>20</v>
      </c>
      <c r="G10" s="101" t="s">
        <v>30</v>
      </c>
      <c r="H10" s="65" t="str">
        <f>IFERROR(+VLOOKUP(G10,Tabla1[#All],2,FALSE),"-")</f>
        <v>ASOCIACIÓN DE BANCOS DEL PERÚ</v>
      </c>
      <c r="I10" s="102" t="s">
        <v>18</v>
      </c>
      <c r="J10" s="103" t="s">
        <v>29</v>
      </c>
      <c r="L10" s="104" t="s">
        <v>31</v>
      </c>
      <c r="M10" s="65" t="s">
        <v>1215</v>
      </c>
      <c r="N10" s="130" t="str">
        <f>IF(Tabla3[[#This Row],[NRO. DOI]]="","",(IF(Tabla3[[#This Row],[MONEDA]]="Soles",(+VLOOKUP(G10,Tabla1[#All],3,FALSE)),(+VLOOKUP(G10,Tabla6[#All],3,FALSE)))))</f>
        <v>OTRO BANCO</v>
      </c>
      <c r="O10" s="65" t="str">
        <f>IF(Tabla3[[#This Row],[NRO. DOI]]="","",(IF(Tabla3[[#This Row],[MONEDA]]="Soles",(+VLOOKUP(G10,Tabla1[#All],4,FALSE)),(+VLOOKUP(G10,Tabla6[#All],4,FALSE)))))</f>
        <v>00219100101694710059</v>
      </c>
      <c r="P10" s="102" t="s">
        <v>27</v>
      </c>
      <c r="Q10" s="132">
        <v>3.5</v>
      </c>
      <c r="R10" s="91">
        <v>1357</v>
      </c>
      <c r="S10" s="91">
        <f>+IF(Tabla3[[#This Row],[MONEDA]]="DOLARES",Tabla3[[#This Row],[MONTO BRUTO]]*Tabla3[[#This Row],[TIPO DE CAMBIO]],0)</f>
        <v>4749.5</v>
      </c>
      <c r="T1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163</v>
      </c>
      <c r="U10" s="91">
        <f>IF(Tabla3[[#This Row],[TIPO DE BIEN O SERVICIO]]="",0,+Tabla3[[#This Row],[MONTO BRUTO]]-Tabla3[[#This Row],[DETRACCION]])</f>
        <v>1194</v>
      </c>
      <c r="V10" s="130" t="s">
        <v>24</v>
      </c>
      <c r="W10" s="98"/>
      <c r="X10" s="91">
        <f>IF(Tabla3[[#This Row],[TIPO DE BIEN O SERVICIO]]="",0,+Tabla3[[#This Row],[MONTO BRUTO]]-Tabla3[[#This Row],[DETRACCION]])</f>
        <v>1194</v>
      </c>
      <c r="Y10" s="96">
        <f>+Tabla3[[#This Row],[MONTO NETO A PAGAR]]-Tabla3[[#This Row],[MONTO PAGADO]]</f>
        <v>0</v>
      </c>
      <c r="Z10" s="97" t="str">
        <f>IF(Tabla3[[#This Row],[MONTO PAGADO]]=0,"",(+IF(Tabla3[[#This Row],[SALDO POR PAGAR]]=0,"TOTAL","PARCIAL")))</f>
        <v>TOTAL</v>
      </c>
    </row>
    <row r="11" spans="1:26" x14ac:dyDescent="0.25">
      <c r="A11" s="65">
        <v>4</v>
      </c>
      <c r="B11" s="98">
        <v>46182</v>
      </c>
      <c r="C11" s="99">
        <v>46182</v>
      </c>
      <c r="D11" s="65" t="s">
        <v>1089</v>
      </c>
      <c r="E11" s="100" t="s">
        <v>1090</v>
      </c>
      <c r="F11" s="128" t="s">
        <v>20</v>
      </c>
      <c r="G11" s="101" t="s">
        <v>33</v>
      </c>
      <c r="H11" s="65" t="str">
        <f>IFERROR(+VLOOKUP(G11,Tabla1[#All],2,FALSE),"-")</f>
        <v>VIRTUAL INTERNET SOLUTIONS S.A.C.</v>
      </c>
      <c r="I11" s="102" t="s">
        <v>18</v>
      </c>
      <c r="J11" s="103" t="s">
        <v>32</v>
      </c>
      <c r="L11" s="104" t="s">
        <v>34</v>
      </c>
      <c r="M11" s="65" t="s">
        <v>1266</v>
      </c>
      <c r="N11" s="130" t="str">
        <f>IF(Tabla3[[#This Row],[NRO. DOI]]="","",(IF(Tabla3[[#This Row],[MONEDA]]="Soles",(+VLOOKUP(G11,Tabla1[#All],3,FALSE)),(+VLOOKUP(G11,Tabla6[#All],3,FALSE)))))</f>
        <v>OTRO BANCO</v>
      </c>
      <c r="O11" s="65" t="str">
        <f>IF(Tabla3[[#This Row],[NRO. DOI]]="","",(IF(Tabla3[[#This Row],[MONEDA]]="Soles",(+VLOOKUP(G11,Tabla1[#All],4,FALSE)),(+VLOOKUP(G11,Tabla6[#All],4,FALSE)))))</f>
        <v>00219300191857605413</v>
      </c>
      <c r="P11" s="102" t="s">
        <v>22</v>
      </c>
      <c r="Q11" s="131"/>
      <c r="R11" s="67">
        <v>739</v>
      </c>
      <c r="S11" s="91">
        <f>+IF(Tabla3[[#This Row],[MONEDA]]="DOLARES",Tabla3[[#This Row],[MONTO BRUTO]]*Tabla3[[#This Row],[TIPO DE CAMBIO]],0)</f>
        <v>0</v>
      </c>
      <c r="T1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89</v>
      </c>
      <c r="U11" s="91">
        <f>IF(Tabla3[[#This Row],[TIPO DE BIEN O SERVICIO]]="",0,+Tabla3[[#This Row],[MONTO BRUTO]]-Tabla3[[#This Row],[DETRACCION]])</f>
        <v>650</v>
      </c>
      <c r="V11" s="130" t="s">
        <v>24</v>
      </c>
      <c r="W11" s="98"/>
      <c r="X11" s="91">
        <f>IF(Tabla3[[#This Row],[TIPO DE BIEN O SERVICIO]]="",0,+Tabla3[[#This Row],[MONTO BRUTO]]-Tabla3[[#This Row],[DETRACCION]])</f>
        <v>650</v>
      </c>
      <c r="Y11" s="96">
        <f>+Tabla3[[#This Row],[MONTO NETO A PAGAR]]-Tabla3[[#This Row],[MONTO PAGADO]]</f>
        <v>0</v>
      </c>
      <c r="Z11" s="97" t="str">
        <f>IF(Tabla3[[#This Row],[MONTO PAGADO]]=0,"",(+IF(Tabla3[[#This Row],[SALDO POR PAGAR]]=0,"TOTAL","PARCIAL")))</f>
        <v>TOTAL</v>
      </c>
    </row>
    <row r="12" spans="1:26" x14ac:dyDescent="0.25">
      <c r="A12" s="65">
        <v>5</v>
      </c>
      <c r="B12" s="98">
        <v>46185</v>
      </c>
      <c r="C12" s="99">
        <v>46185</v>
      </c>
      <c r="D12" s="65" t="s">
        <v>1089</v>
      </c>
      <c r="E12" s="100" t="s">
        <v>1090</v>
      </c>
      <c r="F12" s="128" t="s">
        <v>20</v>
      </c>
      <c r="G12" s="101" t="s">
        <v>36</v>
      </c>
      <c r="H12" s="65" t="str">
        <f>IFERROR(+VLOOKUP(G12,Tabla1[#All],2,FALSE),"-")</f>
        <v>MORE IMAN HUGO</v>
      </c>
      <c r="I12" s="102" t="s">
        <v>18</v>
      </c>
      <c r="J12" s="103" t="s">
        <v>35</v>
      </c>
      <c r="L12" s="104" t="s">
        <v>37</v>
      </c>
      <c r="M12" s="65" t="s">
        <v>1215</v>
      </c>
      <c r="N12" s="130" t="str">
        <f>IF(Tabla3[[#This Row],[NRO. DOI]]="","",(IF(Tabla3[[#This Row],[MONEDA]]="Soles",(+VLOOKUP(G12,Tabla1[#All],3,FALSE)),(+VLOOKUP(G12,Tabla6[#All],3,FALSE)))))</f>
        <v>OTRO BANCO</v>
      </c>
      <c r="O12" s="65" t="str">
        <f>IF(Tabla3[[#This Row],[NRO. DOI]]="","",(IF(Tabla3[[#This Row],[MONEDA]]="Soles",(+VLOOKUP(G12,Tabla1[#All],4,FALSE)),(+VLOOKUP(G12,Tabla6[#All],4,FALSE)))))</f>
        <v>00219311887695002412</v>
      </c>
      <c r="P12" s="102" t="s">
        <v>22</v>
      </c>
      <c r="Q12" s="131"/>
      <c r="R12" s="67">
        <v>3091.6</v>
      </c>
      <c r="S12" s="91">
        <f>+IF(Tabla3[[#This Row],[MONEDA]]="DOLARES",Tabla3[[#This Row],[MONTO BRUTO]]*Tabla3[[#This Row],[TIPO DE CAMBIO]],0)</f>
        <v>0</v>
      </c>
      <c r="T12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371</v>
      </c>
      <c r="U12" s="91">
        <f>IF(Tabla3[[#This Row],[TIPO DE BIEN O SERVICIO]]="",0,+Tabla3[[#This Row],[MONTO BRUTO]]-Tabla3[[#This Row],[DETRACCION]])</f>
        <v>2720.6</v>
      </c>
      <c r="V12" s="130" t="s">
        <v>1247</v>
      </c>
      <c r="W12" s="98"/>
      <c r="X12" s="91">
        <f>IF(Tabla3[[#This Row],[TIPO DE BIEN O SERVICIO]]="",0,+Tabla3[[#This Row],[MONTO BRUTO]]-Tabla3[[#This Row],[DETRACCION]])</f>
        <v>2720.6</v>
      </c>
      <c r="Y12" s="96">
        <f>+Tabla3[[#This Row],[MONTO NETO A PAGAR]]-Tabla3[[#This Row],[MONTO PAGADO]]</f>
        <v>0</v>
      </c>
      <c r="Z12" s="97" t="str">
        <f>IF(Tabla3[[#This Row],[MONTO PAGADO]]=0,"",(+IF(Tabla3[[#This Row],[SALDO POR PAGAR]]=0,"TOTAL","PARCIAL")))</f>
        <v>TOTAL</v>
      </c>
    </row>
    <row r="13" spans="1:26" x14ac:dyDescent="0.25">
      <c r="A13" s="65">
        <v>6</v>
      </c>
      <c r="B13" s="98">
        <v>46185</v>
      </c>
      <c r="C13" s="99">
        <v>46185</v>
      </c>
      <c r="D13" s="65" t="s">
        <v>1089</v>
      </c>
      <c r="E13" s="100" t="s">
        <v>1090</v>
      </c>
      <c r="F13" s="128" t="s">
        <v>20</v>
      </c>
      <c r="G13" s="101" t="s">
        <v>39</v>
      </c>
      <c r="H13" s="65" t="str">
        <f>IFERROR(+VLOOKUP(G13,Tabla1[#All],2,FALSE),"-")</f>
        <v>VAYA VALLA PUBLICIDAD EXTERIOR S.R.L.</v>
      </c>
      <c r="I13" s="102" t="s">
        <v>18</v>
      </c>
      <c r="J13" s="105" t="s">
        <v>38</v>
      </c>
      <c r="L13" s="104" t="s">
        <v>40</v>
      </c>
      <c r="M13" s="65" t="s">
        <v>1267</v>
      </c>
      <c r="N13" s="130" t="str">
        <f>IF(Tabla3[[#This Row],[NRO. DOI]]="","",(IF(Tabla3[[#This Row],[MONEDA]]="Soles",(+VLOOKUP(G13,Tabla1[#All],3,FALSE)),(+VLOOKUP(G13,Tabla6[#All],3,FALSE)))))</f>
        <v>CONTINENTAL</v>
      </c>
      <c r="O13" s="65" t="str">
        <f>IF(Tabla3[[#This Row],[NRO. DOI]]="","",(IF(Tabla3[[#This Row],[MONEDA]]="Soles",(+VLOOKUP(G13,Tabla1[#All],4,FALSE)),(+VLOOKUP(G13,Tabla6[#All],4,FALSE)))))</f>
        <v>00110654000200011798</v>
      </c>
      <c r="P13" s="102" t="s">
        <v>22</v>
      </c>
      <c r="Q13" s="131"/>
      <c r="R13" s="67">
        <v>2500</v>
      </c>
      <c r="S13" s="91">
        <f>+IF(Tabla3[[#This Row],[MONEDA]]="DOLARES",Tabla3[[#This Row],[MONTO BRUTO]]*Tabla3[[#This Row],[TIPO DE CAMBIO]],0)</f>
        <v>0</v>
      </c>
      <c r="T13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300</v>
      </c>
      <c r="U13" s="91">
        <f>IF(Tabla3[[#This Row],[TIPO DE BIEN O SERVICIO]]="",0,+Tabla3[[#This Row],[MONTO BRUTO]]-Tabla3[[#This Row],[DETRACCION]])</f>
        <v>2200</v>
      </c>
      <c r="V13" s="130" t="s">
        <v>24</v>
      </c>
      <c r="W13" s="98"/>
      <c r="X13" s="91">
        <f>IF(Tabla3[[#This Row],[TIPO DE BIEN O SERVICIO]]="",0,+Tabla3[[#This Row],[MONTO BRUTO]]-Tabla3[[#This Row],[DETRACCION]])</f>
        <v>2200</v>
      </c>
      <c r="Y13" s="96">
        <f>+Tabla3[[#This Row],[MONTO NETO A PAGAR]]-Tabla3[[#This Row],[MONTO PAGADO]]</f>
        <v>0</v>
      </c>
      <c r="Z13" s="97" t="str">
        <f>IF(Tabla3[[#This Row],[MONTO PAGADO]]=0,"",(+IF(Tabla3[[#This Row],[SALDO POR PAGAR]]=0,"TOTAL","PARCIAL")))</f>
        <v>TOTAL</v>
      </c>
    </row>
    <row r="14" spans="1:26" x14ac:dyDescent="0.25">
      <c r="A14" s="65">
        <v>7</v>
      </c>
      <c r="B14" s="98">
        <v>46185</v>
      </c>
      <c r="C14" s="99">
        <v>46185</v>
      </c>
      <c r="D14" s="65" t="s">
        <v>1089</v>
      </c>
      <c r="E14" s="100" t="s">
        <v>1090</v>
      </c>
      <c r="F14" s="128" t="s">
        <v>20</v>
      </c>
      <c r="G14" s="101" t="s">
        <v>43</v>
      </c>
      <c r="H14" s="65" t="str">
        <f>IFERROR(+VLOOKUP(G14,Tabla1[#All],2,FALSE),"-")</f>
        <v>UNIVERSIDAD MARIA AUXILIADORA S.A.C.</v>
      </c>
      <c r="I14" s="102" t="s">
        <v>41</v>
      </c>
      <c r="J14" s="103" t="s">
        <v>42</v>
      </c>
      <c r="L14" s="104" t="s">
        <v>44</v>
      </c>
      <c r="M14" s="65" t="s">
        <v>1268</v>
      </c>
      <c r="N14" s="130" t="str">
        <f>IF(Tabla3[[#This Row],[NRO. DOI]]="","",(IF(Tabla3[[#This Row],[MONEDA]]="Soles",(+VLOOKUP(G14,Tabla1[#All],3,FALSE)),(+VLOOKUP(G14,Tabla6[#All],3,FALSE)))))</f>
        <v>CONTINENTAL</v>
      </c>
      <c r="O14" s="65" t="str">
        <f>IF(Tabla3[[#This Row],[NRO. DOI]]="","",(IF(Tabla3[[#This Row],[MONEDA]]="Soles",(+VLOOKUP(G14,Tabla1[#All],4,FALSE)),(+VLOOKUP(G14,Tabla6[#All],4,FALSE)))))</f>
        <v>00110436000200000324</v>
      </c>
      <c r="P14" s="102" t="s">
        <v>22</v>
      </c>
      <c r="Q14" s="131"/>
      <c r="R14" s="67">
        <v>50</v>
      </c>
      <c r="S14" s="91">
        <f>+IF(Tabla3[[#This Row],[MONEDA]]="DOLARES",Tabla3[[#This Row],[MONTO BRUTO]]*Tabla3[[#This Row],[TIPO DE CAMBIO]],0)</f>
        <v>0</v>
      </c>
      <c r="T1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14" s="91">
        <f>IF(Tabla3[[#This Row],[TIPO DE BIEN O SERVICIO]]="",0,+Tabla3[[#This Row],[MONTO BRUTO]]-Tabla3[[#This Row],[DETRACCION]])</f>
        <v>50</v>
      </c>
      <c r="V14" s="130" t="s">
        <v>24</v>
      </c>
      <c r="W14" s="98"/>
      <c r="X14" s="91">
        <f>IF(Tabla3[[#This Row],[TIPO DE BIEN O SERVICIO]]="",0,+Tabla3[[#This Row],[MONTO BRUTO]]-Tabla3[[#This Row],[DETRACCION]])</f>
        <v>50</v>
      </c>
      <c r="Y14" s="96">
        <f>+Tabla3[[#This Row],[MONTO NETO A PAGAR]]-Tabla3[[#This Row],[MONTO PAGADO]]</f>
        <v>0</v>
      </c>
      <c r="Z14" s="97" t="str">
        <f>IF(Tabla3[[#This Row],[MONTO PAGADO]]=0,"",(+IF(Tabla3[[#This Row],[SALDO POR PAGAR]]=0,"TOTAL","PARCIAL")))</f>
        <v>TOTAL</v>
      </c>
    </row>
    <row r="15" spans="1:26" x14ac:dyDescent="0.25">
      <c r="A15" s="65">
        <v>8</v>
      </c>
      <c r="B15" s="98">
        <v>46188</v>
      </c>
      <c r="C15" s="99">
        <v>46188</v>
      </c>
      <c r="D15" s="65" t="s">
        <v>1089</v>
      </c>
      <c r="E15" s="100" t="s">
        <v>1090</v>
      </c>
      <c r="F15" s="128" t="s">
        <v>46</v>
      </c>
      <c r="G15" s="101" t="s">
        <v>47</v>
      </c>
      <c r="H15" s="65" t="str">
        <f>IFERROR(+VLOOKUP(G15,Tabla1[#All],2,FALSE),"-")</f>
        <v>YOMIRA LAURA POLO LAVADO</v>
      </c>
      <c r="I15" s="102" t="s">
        <v>41</v>
      </c>
      <c r="J15" s="103" t="s">
        <v>45</v>
      </c>
      <c r="L15" s="104" t="s">
        <v>48</v>
      </c>
      <c r="M15" s="65" t="s">
        <v>1268</v>
      </c>
      <c r="N15" s="130" t="str">
        <f>IF(Tabla3[[#This Row],[NRO. DOI]]="","",(IF(Tabla3[[#This Row],[MONEDA]]="Soles",(+VLOOKUP(G15,Tabla1[#All],3,FALSE)),(+VLOOKUP(G15,Tabla6[#All],3,FALSE)))))</f>
        <v>OTRO BANCO</v>
      </c>
      <c r="O15" s="65" t="str">
        <f>IF(Tabla3[[#This Row],[NRO. DOI]]="","",(IF(Tabla3[[#This Row],[MONEDA]]="Soles",(+VLOOKUP(G15,Tabla1[#All],4,FALSE)),(+VLOOKUP(G15,Tabla6[#All],4,FALSE)))))</f>
        <v>00219119471474005258</v>
      </c>
      <c r="P15" s="102" t="s">
        <v>22</v>
      </c>
      <c r="Q15" s="131"/>
      <c r="R15" s="67">
        <v>290</v>
      </c>
      <c r="S15" s="91">
        <f>+IF(Tabla3[[#This Row],[MONEDA]]="DOLARES",Tabla3[[#This Row],[MONTO BRUTO]]*Tabla3[[#This Row],[TIPO DE CAMBIO]],0)</f>
        <v>0</v>
      </c>
      <c r="T1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15" s="91">
        <f>IF(Tabla3[[#This Row],[TIPO DE BIEN O SERVICIO]]="",0,+Tabla3[[#This Row],[MONTO BRUTO]]-Tabla3[[#This Row],[DETRACCION]])</f>
        <v>290</v>
      </c>
      <c r="V15" s="130" t="s">
        <v>24</v>
      </c>
      <c r="W15" s="98"/>
      <c r="X15" s="91">
        <f>IF(Tabla3[[#This Row],[TIPO DE BIEN O SERVICIO]]="",0,+Tabla3[[#This Row],[MONTO BRUTO]]-Tabla3[[#This Row],[DETRACCION]])</f>
        <v>290</v>
      </c>
      <c r="Y15" s="96">
        <f>+Tabla3[[#This Row],[MONTO NETO A PAGAR]]-Tabla3[[#This Row],[MONTO PAGADO]]</f>
        <v>0</v>
      </c>
      <c r="Z15" s="97" t="str">
        <f>IF(Tabla3[[#This Row],[MONTO PAGADO]]=0,"",(+IF(Tabla3[[#This Row],[SALDO POR PAGAR]]=0,"TOTAL","PARCIAL")))</f>
        <v>TOTAL</v>
      </c>
    </row>
    <row r="16" spans="1:26" x14ac:dyDescent="0.25">
      <c r="A16" s="65">
        <v>9</v>
      </c>
      <c r="B16" s="98">
        <v>46188</v>
      </c>
      <c r="C16" s="99">
        <v>46188</v>
      </c>
      <c r="D16" s="65" t="s">
        <v>1089</v>
      </c>
      <c r="E16" s="100" t="s">
        <v>1090</v>
      </c>
      <c r="F16" s="128" t="s">
        <v>20</v>
      </c>
      <c r="G16" s="101" t="s">
        <v>50</v>
      </c>
      <c r="H16" s="65" t="str">
        <f>IFERROR(+VLOOKUP(G16,Tabla1[#All],2,FALSE),"-")</f>
        <v>ROSADO DE LA CRUZ ROSSI MARILU</v>
      </c>
      <c r="I16" s="102" t="s">
        <v>18</v>
      </c>
      <c r="J16" s="103" t="s">
        <v>49</v>
      </c>
      <c r="L16" s="104" t="s">
        <v>51</v>
      </c>
      <c r="M16" s="65" t="s">
        <v>1269</v>
      </c>
      <c r="N16" s="130" t="str">
        <f>IF(Tabla3[[#This Row],[NRO. DOI]]="","",(IF(Tabla3[[#This Row],[MONEDA]]="Soles",(+VLOOKUP(G16,Tabla1[#All],3,FALSE)),(+VLOOKUP(G16,Tabla6[#All],3,FALSE)))))</f>
        <v>OTRO BANCO</v>
      </c>
      <c r="O16" s="65" t="str">
        <f>IF(Tabla3[[#This Row],[NRO. DOI]]="","",(IF(Tabla3[[#This Row],[MONEDA]]="Soles",(+VLOOKUP(G16,Tabla1[#All],4,FALSE)),(+VLOOKUP(G16,Tabla6[#All],4,FALSE)))))</f>
        <v>00219110430344301155</v>
      </c>
      <c r="P16" s="102" t="s">
        <v>22</v>
      </c>
      <c r="Q16" s="131"/>
      <c r="R16" s="67">
        <v>3900</v>
      </c>
      <c r="S16" s="91">
        <f>+IF(Tabla3[[#This Row],[MONEDA]]="DOLARES",Tabla3[[#This Row],[MONTO BRUTO]]*Tabla3[[#This Row],[TIPO DE CAMBIO]],0)</f>
        <v>0</v>
      </c>
      <c r="T16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16" s="91">
        <f>IF(Tabla3[[#This Row],[TIPO DE BIEN O SERVICIO]]="",0,+Tabla3[[#This Row],[MONTO BRUTO]]-Tabla3[[#This Row],[DETRACCION]])</f>
        <v>3900</v>
      </c>
      <c r="V16" s="130" t="s">
        <v>24</v>
      </c>
      <c r="W16" s="98"/>
      <c r="X16" s="91">
        <f>IF(Tabla3[[#This Row],[TIPO DE BIEN O SERVICIO]]="",0,+Tabla3[[#This Row],[MONTO BRUTO]]-Tabla3[[#This Row],[DETRACCION]])</f>
        <v>3900</v>
      </c>
      <c r="Y16" s="96">
        <f>+Tabla3[[#This Row],[MONTO NETO A PAGAR]]-Tabla3[[#This Row],[MONTO PAGADO]]</f>
        <v>0</v>
      </c>
      <c r="Z16" s="97" t="str">
        <f>IF(Tabla3[[#This Row],[MONTO PAGADO]]=0,"",(+IF(Tabla3[[#This Row],[SALDO POR PAGAR]]=0,"TOTAL","PARCIAL")))</f>
        <v>TOTAL</v>
      </c>
    </row>
    <row r="17" spans="1:26" x14ac:dyDescent="0.25">
      <c r="A17" s="65">
        <v>10</v>
      </c>
      <c r="B17" s="98">
        <v>46189</v>
      </c>
      <c r="C17" s="99">
        <v>38884</v>
      </c>
      <c r="D17" s="65" t="s">
        <v>1089</v>
      </c>
      <c r="E17" s="100" t="s">
        <v>1090</v>
      </c>
      <c r="F17" s="128" t="s">
        <v>20</v>
      </c>
      <c r="G17" s="101" t="s">
        <v>53</v>
      </c>
      <c r="H17" s="65" t="str">
        <f>IFERROR(+VLOOKUP(G17,Tabla1[#All],2,FALSE),"-")</f>
        <v>LATINUM GROUP S.A.C</v>
      </c>
      <c r="I17" s="102" t="s">
        <v>18</v>
      </c>
      <c r="J17" s="103" t="s">
        <v>52</v>
      </c>
      <c r="K17" s="100" t="s">
        <v>55</v>
      </c>
      <c r="L17" s="104" t="s">
        <v>54</v>
      </c>
      <c r="M17" s="65" t="s">
        <v>1270</v>
      </c>
      <c r="N17" s="130" t="str">
        <f>IF(Tabla3[[#This Row],[NRO. DOI]]="","",(IF(Tabla3[[#This Row],[MONEDA]]="Soles",(+VLOOKUP(G17,Tabla1[#All],3,FALSE)),(+VLOOKUP(G17,Tabla6[#All],3,FALSE)))))</f>
        <v>CONTINENTAL</v>
      </c>
      <c r="O17" s="65" t="str">
        <f>IF(Tabla3[[#This Row],[NRO. DOI]]="","",(IF(Tabla3[[#This Row],[MONEDA]]="Soles",(+VLOOKUP(G17,Tabla1[#All],4,FALSE)),(+VLOOKUP(G17,Tabla6[#All],4,FALSE)))))</f>
        <v>00110360000100019823</v>
      </c>
      <c r="P17" s="102" t="s">
        <v>22</v>
      </c>
      <c r="Q17" s="131"/>
      <c r="R17" s="67">
        <f>17700*3.414</f>
        <v>60427.8</v>
      </c>
      <c r="S17" s="91">
        <f>+IF(Tabla3[[#This Row],[MONEDA]]="DOLARES",Tabla3[[#This Row],[MONTO BRUTO]]*Tabla3[[#This Row],[TIPO DE CAMBIO]],0)</f>
        <v>0</v>
      </c>
      <c r="T17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6043</v>
      </c>
      <c r="U17" s="91">
        <f>IF(Tabla3[[#This Row],[TIPO DE BIEN O SERVICIO]]="",0,+Tabla3[[#This Row],[MONTO BRUTO]]-Tabla3[[#This Row],[DETRACCION]])</f>
        <v>54384.800000000003</v>
      </c>
      <c r="V17" s="130" t="s">
        <v>24</v>
      </c>
      <c r="W17" s="98">
        <v>46204</v>
      </c>
      <c r="X17" s="96">
        <f>IF(Tabla3[[#This Row],[TIPO DE BIEN O SERVICIO]]="",0,+Tabla3[[#This Row],[MONTO BRUTO]]-Tabla3[[#This Row],[DETRACCION]])</f>
        <v>54384.800000000003</v>
      </c>
      <c r="Y17" s="96">
        <f>+Tabla3[[#This Row],[MONTO NETO A PAGAR]]-Tabla3[[#This Row],[MONTO PAGADO]]</f>
        <v>0</v>
      </c>
      <c r="Z17" s="97" t="str">
        <f>IF(Tabla3[[#This Row],[MONTO PAGADO]]=0,"",(+IF(Tabla3[[#This Row],[SALDO POR PAGAR]]=0,"TOTAL","PARCIAL")))</f>
        <v>TOTAL</v>
      </c>
    </row>
    <row r="18" spans="1:26" x14ac:dyDescent="0.25">
      <c r="A18" s="65">
        <v>11</v>
      </c>
      <c r="B18" s="98">
        <v>46190</v>
      </c>
      <c r="C18" s="99">
        <v>46185</v>
      </c>
      <c r="D18" s="65" t="s">
        <v>1089</v>
      </c>
      <c r="E18" s="100" t="s">
        <v>1090</v>
      </c>
      <c r="F18" s="128" t="s">
        <v>20</v>
      </c>
      <c r="G18" s="101" t="s">
        <v>57</v>
      </c>
      <c r="H18" s="65" t="str">
        <f>IFERROR(+VLOOKUP(G18,Tabla1[#All],2,FALSE),"-")</f>
        <v>BRAVO ESPINOZA NANCY GLADYS</v>
      </c>
      <c r="I18" s="102" t="s">
        <v>18</v>
      </c>
      <c r="J18" s="103" t="s">
        <v>56</v>
      </c>
      <c r="K18" s="100" t="s">
        <v>59</v>
      </c>
      <c r="L18" s="104" t="s">
        <v>58</v>
      </c>
      <c r="M18" s="65" t="s">
        <v>1271</v>
      </c>
      <c r="N18" s="130" t="str">
        <f>IF(Tabla3[[#This Row],[NRO. DOI]]="","",(IF(Tabla3[[#This Row],[MONEDA]]="Soles",(+VLOOKUP(G18,Tabla1[#All],3,FALSE)),(+VLOOKUP(G18,Tabla6[#All],3,FALSE)))))</f>
        <v>OTRO BANCO</v>
      </c>
      <c r="O18" s="65" t="str">
        <f>IF(Tabla3[[#This Row],[NRO. DOI]]="","",(IF(Tabla3[[#This Row],[MONEDA]]="Soles",(+VLOOKUP(G18,Tabla1[#All],4,FALSE)),(+VLOOKUP(G18,Tabla6[#All],4,FALSE)))))</f>
        <v>00988520885018826258</v>
      </c>
      <c r="P18" s="102" t="s">
        <v>22</v>
      </c>
      <c r="Q18" s="131"/>
      <c r="R18" s="67">
        <v>558.9</v>
      </c>
      <c r="S18" s="91">
        <f>+IF(Tabla3[[#This Row],[MONEDA]]="DOLARES",Tabla3[[#This Row],[MONTO BRUTO]]*Tabla3[[#This Row],[TIPO DE CAMBIO]],0)</f>
        <v>0</v>
      </c>
      <c r="T1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18" s="91">
        <f>IF(Tabla3[[#This Row],[TIPO DE BIEN O SERVICIO]]="",0,+Tabla3[[#This Row],[MONTO BRUTO]]-Tabla3[[#This Row],[DETRACCION]])</f>
        <v>558.9</v>
      </c>
      <c r="V18" s="130" t="s">
        <v>24</v>
      </c>
      <c r="W18" s="98">
        <v>46204</v>
      </c>
      <c r="X18" s="96">
        <f>IF(Tabla3[[#This Row],[TIPO DE BIEN O SERVICIO]]="",0,+Tabla3[[#This Row],[MONTO BRUTO]]-Tabla3[[#This Row],[DETRACCION]])</f>
        <v>558.9</v>
      </c>
      <c r="Y18" s="96">
        <f>+Tabla3[[#This Row],[MONTO NETO A PAGAR]]-Tabla3[[#This Row],[MONTO PAGADO]]</f>
        <v>0</v>
      </c>
      <c r="Z18" s="97" t="str">
        <f>IF(Tabla3[[#This Row],[MONTO PAGADO]]=0,"",(+IF(Tabla3[[#This Row],[SALDO POR PAGAR]]=0,"TOTAL","PARCIAL")))</f>
        <v>TOTAL</v>
      </c>
    </row>
    <row r="19" spans="1:26" x14ac:dyDescent="0.25">
      <c r="A19" s="65">
        <v>12</v>
      </c>
      <c r="B19" s="98">
        <v>46190</v>
      </c>
      <c r="C19" s="99">
        <v>46185</v>
      </c>
      <c r="D19" s="65" t="s">
        <v>1089</v>
      </c>
      <c r="E19" s="100" t="s">
        <v>1090</v>
      </c>
      <c r="F19" s="128" t="s">
        <v>20</v>
      </c>
      <c r="G19" s="101" t="s">
        <v>57</v>
      </c>
      <c r="H19" s="65" t="str">
        <f>IFERROR(+VLOOKUP(G19,Tabla1[#All],2,FALSE),"-")</f>
        <v>BRAVO ESPINOZA NANCY GLADYS</v>
      </c>
      <c r="I19" s="102" t="s">
        <v>18</v>
      </c>
      <c r="J19" s="103" t="s">
        <v>60</v>
      </c>
      <c r="K19" s="100" t="s">
        <v>61</v>
      </c>
      <c r="L19" s="104" t="s">
        <v>58</v>
      </c>
      <c r="M19" s="65" t="s">
        <v>1271</v>
      </c>
      <c r="N19" s="130" t="str">
        <f>IF(Tabla3[[#This Row],[NRO. DOI]]="","",(IF(Tabla3[[#This Row],[MONEDA]]="Soles",(+VLOOKUP(G19,Tabla1[#All],3,FALSE)),(+VLOOKUP(G19,Tabla6[#All],3,FALSE)))))</f>
        <v>OTRO BANCO</v>
      </c>
      <c r="O19" s="65" t="str">
        <f>IF(Tabla3[[#This Row],[NRO. DOI]]="","",(IF(Tabla3[[#This Row],[MONEDA]]="Soles",(+VLOOKUP(G19,Tabla1[#All],4,FALSE)),(+VLOOKUP(G19,Tabla6[#All],4,FALSE)))))</f>
        <v>00988520885018826258</v>
      </c>
      <c r="P19" s="102" t="s">
        <v>22</v>
      </c>
      <c r="Q19" s="131"/>
      <c r="R19" s="67">
        <v>478.7</v>
      </c>
      <c r="S19" s="91">
        <f>+IF(Tabla3[[#This Row],[MONEDA]]="DOLARES",Tabla3[[#This Row],[MONTO BRUTO]]*Tabla3[[#This Row],[TIPO DE CAMBIO]],0)</f>
        <v>0</v>
      </c>
      <c r="T1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19" s="91">
        <f>IF(Tabla3[[#This Row],[TIPO DE BIEN O SERVICIO]]="",0,+Tabla3[[#This Row],[MONTO BRUTO]]-Tabla3[[#This Row],[DETRACCION]])</f>
        <v>478.7</v>
      </c>
      <c r="V19" s="130" t="s">
        <v>1247</v>
      </c>
      <c r="W19" s="98">
        <v>46204</v>
      </c>
      <c r="X19" s="96">
        <f>IF(Tabla3[[#This Row],[TIPO DE BIEN O SERVICIO]]="",0,+Tabla3[[#This Row],[MONTO BRUTO]]-Tabla3[[#This Row],[DETRACCION]])</f>
        <v>478.7</v>
      </c>
      <c r="Y19" s="96">
        <f>+Tabla3[[#This Row],[MONTO NETO A PAGAR]]-Tabla3[[#This Row],[MONTO PAGADO]]</f>
        <v>0</v>
      </c>
      <c r="Z19" s="97" t="str">
        <f>IF(Tabla3[[#This Row],[MONTO PAGADO]]=0,"",(+IF(Tabla3[[#This Row],[SALDO POR PAGAR]]=0,"TOTAL","PARCIAL")))</f>
        <v>TOTAL</v>
      </c>
    </row>
    <row r="20" spans="1:26" x14ac:dyDescent="0.25">
      <c r="A20" s="65">
        <v>13</v>
      </c>
      <c r="B20" s="98">
        <v>46190</v>
      </c>
      <c r="C20" s="99">
        <v>46185</v>
      </c>
      <c r="D20" s="65" t="s">
        <v>1089</v>
      </c>
      <c r="E20" s="100" t="s">
        <v>1090</v>
      </c>
      <c r="F20" s="128" t="s">
        <v>20</v>
      </c>
      <c r="G20" s="101" t="s">
        <v>57</v>
      </c>
      <c r="H20" s="65" t="str">
        <f>IFERROR(+VLOOKUP(G20,Tabla1[#All],2,FALSE),"-")</f>
        <v>BRAVO ESPINOZA NANCY GLADYS</v>
      </c>
      <c r="I20" s="102" t="s">
        <v>18</v>
      </c>
      <c r="J20" s="103" t="s">
        <v>62</v>
      </c>
      <c r="K20" s="100" t="s">
        <v>63</v>
      </c>
      <c r="L20" s="104" t="s">
        <v>58</v>
      </c>
      <c r="M20" s="65" t="s">
        <v>1271</v>
      </c>
      <c r="N20" s="130" t="str">
        <f>IF(Tabla3[[#This Row],[NRO. DOI]]="","",(IF(Tabla3[[#This Row],[MONEDA]]="Soles",(+VLOOKUP(G20,Tabla1[#All],3,FALSE)),(+VLOOKUP(G20,Tabla6[#All],3,FALSE)))))</f>
        <v>OTRO BANCO</v>
      </c>
      <c r="O20" s="65" t="str">
        <f>IF(Tabla3[[#This Row],[NRO. DOI]]="","",(IF(Tabla3[[#This Row],[MONEDA]]="Soles",(+VLOOKUP(G20,Tabla1[#All],4,FALSE)),(+VLOOKUP(G20,Tabla6[#All],4,FALSE)))))</f>
        <v>00988520885018826258</v>
      </c>
      <c r="P20" s="102" t="s">
        <v>22</v>
      </c>
      <c r="Q20" s="131"/>
      <c r="R20" s="67">
        <v>550.79999999999995</v>
      </c>
      <c r="S20" s="91">
        <f>+IF(Tabla3[[#This Row],[MONEDA]]="DOLARES",Tabla3[[#This Row],[MONTO BRUTO]]*Tabla3[[#This Row],[TIPO DE CAMBIO]],0)</f>
        <v>0</v>
      </c>
      <c r="T2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0" s="91">
        <f>IF(Tabla3[[#This Row],[TIPO DE BIEN O SERVICIO]]="",0,+Tabla3[[#This Row],[MONTO BRUTO]]-Tabla3[[#This Row],[DETRACCION]])</f>
        <v>550.79999999999995</v>
      </c>
      <c r="V20" s="130" t="s">
        <v>24</v>
      </c>
      <c r="W20" s="98">
        <v>46204</v>
      </c>
      <c r="X20" s="96">
        <f>IF(Tabla3[[#This Row],[TIPO DE BIEN O SERVICIO]]="",0,+Tabla3[[#This Row],[MONTO BRUTO]]-Tabla3[[#This Row],[DETRACCION]])</f>
        <v>550.79999999999995</v>
      </c>
      <c r="Y20" s="96">
        <f>+Tabla3[[#This Row],[MONTO NETO A PAGAR]]-Tabla3[[#This Row],[MONTO PAGADO]]</f>
        <v>0</v>
      </c>
      <c r="Z20" s="97" t="str">
        <f>IF(Tabla3[[#This Row],[MONTO PAGADO]]=0,"",(+IF(Tabla3[[#This Row],[SALDO POR PAGAR]]=0,"TOTAL","PARCIAL")))</f>
        <v>TOTAL</v>
      </c>
    </row>
    <row r="21" spans="1:26" x14ac:dyDescent="0.25">
      <c r="A21" s="65">
        <v>14</v>
      </c>
      <c r="B21" s="98">
        <v>46221</v>
      </c>
      <c r="C21" s="99">
        <v>46190</v>
      </c>
      <c r="D21" s="65" t="s">
        <v>1089</v>
      </c>
      <c r="E21" s="100" t="s">
        <v>1090</v>
      </c>
      <c r="F21" s="128" t="s">
        <v>20</v>
      </c>
      <c r="G21" s="101" t="s">
        <v>65</v>
      </c>
      <c r="H21" s="65" t="str">
        <f>IFERROR(+VLOOKUP(G21,Tabla1[#All],2,FALSE),"-")</f>
        <v>IMPRESIONES FUENTES S.A.C.</v>
      </c>
      <c r="I21" s="102" t="s">
        <v>18</v>
      </c>
      <c r="J21" s="105" t="s">
        <v>64</v>
      </c>
      <c r="K21" s="100" t="s">
        <v>67</v>
      </c>
      <c r="L21" s="104" t="s">
        <v>66</v>
      </c>
      <c r="M21" s="65" t="s">
        <v>1267</v>
      </c>
      <c r="N21" s="130" t="str">
        <f>IF(Tabla3[[#This Row],[NRO. DOI]]="","",(IF(Tabla3[[#This Row],[MONEDA]]="Soles",(+VLOOKUP(G21,Tabla1[#All],3,FALSE)),(+VLOOKUP(G21,Tabla6[#All],3,FALSE)))))</f>
        <v>OTRO BANCO</v>
      </c>
      <c r="O21" s="65" t="str">
        <f>IF(Tabla3[[#This Row],[NRO. DOI]]="","",(IF(Tabla3[[#This Row],[MONEDA]]="Soles",(+VLOOKUP(G21,Tabla1[#All],4,FALSE)),(+VLOOKUP(G21,Tabla6[#All],4,FALSE)))))</f>
        <v>00320000300443668531</v>
      </c>
      <c r="P21" s="102" t="s">
        <v>22</v>
      </c>
      <c r="Q21" s="131"/>
      <c r="R21" s="67">
        <v>560</v>
      </c>
      <c r="S21" s="91">
        <f>+IF(Tabla3[[#This Row],[MONEDA]]="DOLARES",Tabla3[[#This Row],[MONTO BRUTO]]*Tabla3[[#This Row],[TIPO DE CAMBIO]],0)</f>
        <v>0</v>
      </c>
      <c r="T2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1" s="91">
        <f>IF(Tabla3[[#This Row],[TIPO DE BIEN O SERVICIO]]="",0,+Tabla3[[#This Row],[MONTO BRUTO]]-Tabla3[[#This Row],[DETRACCION]])</f>
        <v>560</v>
      </c>
      <c r="V21" s="130" t="s">
        <v>24</v>
      </c>
      <c r="W21" s="98">
        <v>46204</v>
      </c>
      <c r="X21" s="96">
        <f>IF(Tabla3[[#This Row],[TIPO DE BIEN O SERVICIO]]="",0,+Tabla3[[#This Row],[MONTO BRUTO]]-Tabla3[[#This Row],[DETRACCION]])</f>
        <v>560</v>
      </c>
      <c r="Y21" s="96">
        <f>+Tabla3[[#This Row],[MONTO NETO A PAGAR]]-Tabla3[[#This Row],[MONTO PAGADO]]</f>
        <v>0</v>
      </c>
      <c r="Z21" s="97" t="str">
        <f>IF(Tabla3[[#This Row],[MONTO PAGADO]]=0,"",(+IF(Tabla3[[#This Row],[SALDO POR PAGAR]]=0,"TOTAL","PARCIAL")))</f>
        <v>TOTAL</v>
      </c>
    </row>
    <row r="22" spans="1:26" ht="30" x14ac:dyDescent="0.25">
      <c r="A22" s="65">
        <v>15</v>
      </c>
      <c r="B22" s="98">
        <v>46192</v>
      </c>
      <c r="C22" s="99">
        <v>46191</v>
      </c>
      <c r="D22" s="65" t="s">
        <v>1089</v>
      </c>
      <c r="E22" s="100" t="s">
        <v>1090</v>
      </c>
      <c r="F22" s="128" t="s">
        <v>46</v>
      </c>
      <c r="G22" s="101" t="s">
        <v>70</v>
      </c>
      <c r="H22" s="65" t="str">
        <f>IFERROR(+VLOOKUP(G22,Tabla1[#All],2,FALSE),"-")</f>
        <v>LUYO PACHAS LUIS RONALD</v>
      </c>
      <c r="I22" s="102" t="s">
        <v>68</v>
      </c>
      <c r="J22" s="103" t="s">
        <v>69</v>
      </c>
      <c r="K22" s="100" t="s">
        <v>72</v>
      </c>
      <c r="L22" s="104" t="s">
        <v>71</v>
      </c>
      <c r="M22" s="65" t="s">
        <v>1268</v>
      </c>
      <c r="N22" s="130" t="str">
        <f>IF(Tabla3[[#This Row],[NRO. DOI]]="","",(IF(Tabla3[[#This Row],[MONEDA]]="Soles",(+VLOOKUP(G22,Tabla1[#All],3,FALSE)),(+VLOOKUP(G22,Tabla6[#All],3,FALSE)))))</f>
        <v>CONTINENTAL</v>
      </c>
      <c r="O22" s="65" t="str">
        <f>IF(Tabla3[[#This Row],[NRO. DOI]]="","",(IF(Tabla3[[#This Row],[MONEDA]]="Soles",(+VLOOKUP(G22,Tabla1[#All],4,FALSE)),(+VLOOKUP(G22,Tabla6[#All],4,FALSE)))))</f>
        <v>00110057000238379904</v>
      </c>
      <c r="P22" s="102" t="s">
        <v>22</v>
      </c>
      <c r="Q22" s="131"/>
      <c r="R22" s="67">
        <v>51.8</v>
      </c>
      <c r="S22" s="91">
        <f>+IF(Tabla3[[#This Row],[MONEDA]]="DOLARES",Tabla3[[#This Row],[MONTO BRUTO]]*Tabla3[[#This Row],[TIPO DE CAMBIO]],0)</f>
        <v>0</v>
      </c>
      <c r="T22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2" s="91">
        <f>IF(Tabla3[[#This Row],[TIPO DE BIEN O SERVICIO]]="",0,+Tabla3[[#This Row],[MONTO BRUTO]]-Tabla3[[#This Row],[DETRACCION]])</f>
        <v>51.8</v>
      </c>
      <c r="V22" s="130" t="s">
        <v>24</v>
      </c>
      <c r="W22" s="98">
        <v>46204</v>
      </c>
      <c r="X22" s="96">
        <f>IF(Tabla3[[#This Row],[TIPO DE BIEN O SERVICIO]]="",0,+Tabla3[[#This Row],[MONTO BRUTO]]-Tabla3[[#This Row],[DETRACCION]])</f>
        <v>51.8</v>
      </c>
      <c r="Y22" s="96">
        <f>+Tabla3[[#This Row],[MONTO NETO A PAGAR]]-Tabla3[[#This Row],[MONTO PAGADO]]</f>
        <v>0</v>
      </c>
      <c r="Z22" s="97" t="str">
        <f>IF(Tabla3[[#This Row],[MONTO PAGADO]]=0,"",(+IF(Tabla3[[#This Row],[SALDO POR PAGAR]]=0,"TOTAL","PARCIAL")))</f>
        <v>TOTAL</v>
      </c>
    </row>
    <row r="23" spans="1:26" x14ac:dyDescent="0.25">
      <c r="A23" s="65">
        <v>16</v>
      </c>
      <c r="B23" s="98">
        <v>46192</v>
      </c>
      <c r="C23" s="99">
        <v>46191</v>
      </c>
      <c r="D23" s="65" t="s">
        <v>1089</v>
      </c>
      <c r="E23" s="100" t="s">
        <v>1090</v>
      </c>
      <c r="F23" s="128" t="s">
        <v>20</v>
      </c>
      <c r="G23" s="101" t="s">
        <v>74</v>
      </c>
      <c r="H23" s="65" t="str">
        <f>IFERROR(+VLOOKUP(G23,Tabla1[#All],2,FALSE),"-")</f>
        <v>IMMERSE S.A.C.</v>
      </c>
      <c r="I23" s="102" t="s">
        <v>18</v>
      </c>
      <c r="J23" s="103" t="s">
        <v>73</v>
      </c>
      <c r="K23" s="100" t="s">
        <v>76</v>
      </c>
      <c r="L23" s="104" t="s">
        <v>75</v>
      </c>
      <c r="M23" s="65" t="s">
        <v>1266</v>
      </c>
      <c r="N23" s="130" t="str">
        <f>IF(Tabla3[[#This Row],[NRO. DOI]]="","",(IF(Tabla3[[#This Row],[MONEDA]]="Soles",(+VLOOKUP(G23,Tabla1[#All],3,FALSE)),(+VLOOKUP(G23,Tabla6[#All],3,FALSE)))))</f>
        <v>CONTINENTAL</v>
      </c>
      <c r="O23" s="65" t="str">
        <f>IF(Tabla3[[#This Row],[NRO. DOI]]="","",(IF(Tabla3[[#This Row],[MONEDA]]="Soles",(+VLOOKUP(G23,Tabla1[#All],4,FALSE)),(+VLOOKUP(G23,Tabla6[#All],4,FALSE)))))</f>
        <v>00110791000200180226</v>
      </c>
      <c r="P23" s="102" t="s">
        <v>27</v>
      </c>
      <c r="Q23" s="132">
        <v>3.5</v>
      </c>
      <c r="R23" s="91">
        <v>2499.37</v>
      </c>
      <c r="S23" s="91">
        <f>+IF(Tabla3[[#This Row],[MONEDA]]="DOLARES",Tabla3[[#This Row],[MONTO BRUTO]]*Tabla3[[#This Row],[TIPO DE CAMBIO]],0)</f>
        <v>8747.7950000000001</v>
      </c>
      <c r="T23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300</v>
      </c>
      <c r="U23" s="91">
        <f>IF(Tabla3[[#This Row],[TIPO DE BIEN O SERVICIO]]="",0,+Tabla3[[#This Row],[MONTO BRUTO]]-Tabla3[[#This Row],[DETRACCION]])</f>
        <v>2199.37</v>
      </c>
      <c r="V23" s="130" t="s">
        <v>1247</v>
      </c>
      <c r="W23" s="98">
        <v>46204</v>
      </c>
      <c r="X23" s="96">
        <f>IF(Tabla3[[#This Row],[TIPO DE BIEN O SERVICIO]]="",0,+Tabla3[[#This Row],[MONTO BRUTO]]-Tabla3[[#This Row],[DETRACCION]])</f>
        <v>2199.37</v>
      </c>
      <c r="Y23" s="96">
        <f>+Tabla3[[#This Row],[MONTO NETO A PAGAR]]-Tabla3[[#This Row],[MONTO PAGADO]]</f>
        <v>0</v>
      </c>
      <c r="Z23" s="97" t="str">
        <f>IF(Tabla3[[#This Row],[MONTO PAGADO]]=0,"",(+IF(Tabla3[[#This Row],[SALDO POR PAGAR]]=0,"TOTAL","PARCIAL")))</f>
        <v>TOTAL</v>
      </c>
    </row>
    <row r="24" spans="1:26" x14ac:dyDescent="0.25">
      <c r="A24" s="65">
        <v>17</v>
      </c>
      <c r="B24" s="98">
        <v>46192</v>
      </c>
      <c r="C24" s="99">
        <v>46191</v>
      </c>
      <c r="D24" s="65" t="s">
        <v>1089</v>
      </c>
      <c r="E24" s="100" t="s">
        <v>1090</v>
      </c>
      <c r="F24" s="128" t="s">
        <v>20</v>
      </c>
      <c r="G24" s="101" t="s">
        <v>78</v>
      </c>
      <c r="H24" s="65" t="str">
        <f>IFERROR(+VLOOKUP(G24,Tabla1[#All],2,FALSE),"-")</f>
        <v>TALLERES GRAFICOS GIMAVIC SRLTDA</v>
      </c>
      <c r="I24" s="102" t="s">
        <v>18</v>
      </c>
      <c r="J24" s="103" t="s">
        <v>77</v>
      </c>
      <c r="K24" s="100" t="s">
        <v>80</v>
      </c>
      <c r="L24" s="104" t="s">
        <v>79</v>
      </c>
      <c r="M24" s="65" t="s">
        <v>1267</v>
      </c>
      <c r="N24" s="130" t="str">
        <f>IF(Tabla3[[#This Row],[NRO. DOI]]="","",(IF(Tabla3[[#This Row],[MONEDA]]="Soles",(+VLOOKUP(G24,Tabla1[#All],3,FALSE)),(+VLOOKUP(G24,Tabla6[#All],3,FALSE)))))</f>
        <v>CONTINENTAL</v>
      </c>
      <c r="O24" s="65" t="str">
        <f>IF(Tabla3[[#This Row],[NRO. DOI]]="","",(IF(Tabla3[[#This Row],[MONEDA]]="Soles",(+VLOOKUP(G24,Tabla1[#All],4,FALSE)),(+VLOOKUP(G24,Tabla6[#All],4,FALSE)))))</f>
        <v>00110353000100043777</v>
      </c>
      <c r="P24" s="102" t="s">
        <v>22</v>
      </c>
      <c r="Q24" s="131"/>
      <c r="R24" s="67">
        <v>1852.6</v>
      </c>
      <c r="S24" s="91">
        <f>+IF(Tabla3[[#This Row],[MONEDA]]="DOLARES",Tabla3[[#This Row],[MONTO BRUTO]]*Tabla3[[#This Row],[TIPO DE CAMBIO]],0)</f>
        <v>0</v>
      </c>
      <c r="T2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222</v>
      </c>
      <c r="U24" s="91">
        <f>IF(Tabla3[[#This Row],[TIPO DE BIEN O SERVICIO]]="",0,+Tabla3[[#This Row],[MONTO BRUTO]]-Tabla3[[#This Row],[DETRACCION]])</f>
        <v>1630.6</v>
      </c>
      <c r="V24" s="130" t="s">
        <v>24</v>
      </c>
      <c r="W24" s="98">
        <v>46204</v>
      </c>
      <c r="X24" s="96">
        <f>IF(Tabla3[[#This Row],[TIPO DE BIEN O SERVICIO]]="",0,+Tabla3[[#This Row],[MONTO BRUTO]]-Tabla3[[#This Row],[DETRACCION]])</f>
        <v>1630.6</v>
      </c>
      <c r="Y24" s="96">
        <f>+Tabla3[[#This Row],[MONTO NETO A PAGAR]]-Tabla3[[#This Row],[MONTO PAGADO]]</f>
        <v>0</v>
      </c>
      <c r="Z24" s="97" t="str">
        <f>IF(Tabla3[[#This Row],[MONTO PAGADO]]=0,"",(+IF(Tabla3[[#This Row],[SALDO POR PAGAR]]=0,"TOTAL","PARCIAL")))</f>
        <v>TOTAL</v>
      </c>
    </row>
    <row r="25" spans="1:26" x14ac:dyDescent="0.25">
      <c r="A25" s="65">
        <v>18</v>
      </c>
      <c r="B25" s="98">
        <v>46195</v>
      </c>
      <c r="C25" s="99">
        <v>46195</v>
      </c>
      <c r="D25" s="65" t="s">
        <v>1089</v>
      </c>
      <c r="E25" s="100" t="s">
        <v>1090</v>
      </c>
      <c r="F25" s="128" t="s">
        <v>20</v>
      </c>
      <c r="G25" s="101" t="s">
        <v>82</v>
      </c>
      <c r="H25" s="65" t="str">
        <f>IFERROR(+VLOOKUP(G25,Tabla1[#All],2,FALSE),"-")</f>
        <v>CORPORACION LOAYZA S.A.C.</v>
      </c>
      <c r="I25" s="102" t="s">
        <v>18</v>
      </c>
      <c r="J25" s="103" t="s">
        <v>81</v>
      </c>
      <c r="K25" s="100" t="s">
        <v>84</v>
      </c>
      <c r="L25" s="104" t="s">
        <v>83</v>
      </c>
      <c r="M25" s="65" t="s">
        <v>1286</v>
      </c>
      <c r="N25" s="130" t="str">
        <f>IF(Tabla3[[#This Row],[NRO. DOI]]="","",(IF(Tabla3[[#This Row],[MONEDA]]="Soles",(+VLOOKUP(G25,Tabla1[#All],3,FALSE)),(+VLOOKUP(G25,Tabla6[#All],3,FALSE)))))</f>
        <v>CONTINENTAL</v>
      </c>
      <c r="O25" s="65" t="str">
        <f>IF(Tabla3[[#This Row],[NRO. DOI]]="","",(IF(Tabla3[[#This Row],[MONEDA]]="Soles",(+VLOOKUP(G25,Tabla1[#All],4,FALSE)),(+VLOOKUP(G25,Tabla6[#All],4,FALSE)))))</f>
        <v>00110322000100023998</v>
      </c>
      <c r="P25" s="102" t="s">
        <v>22</v>
      </c>
      <c r="Q25" s="131"/>
      <c r="R25" s="67">
        <v>1729.1</v>
      </c>
      <c r="S25" s="91">
        <f>+IF(Tabla3[[#This Row],[MONEDA]]="DOLARES",Tabla3[[#This Row],[MONTO BRUTO]]*Tabla3[[#This Row],[TIPO DE CAMBIO]],0)</f>
        <v>0</v>
      </c>
      <c r="T2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5" s="91">
        <f>IF(Tabla3[[#This Row],[TIPO DE BIEN O SERVICIO]]="",0,+Tabla3[[#This Row],[MONTO BRUTO]]-Tabla3[[#This Row],[DETRACCION]])</f>
        <v>1729.1</v>
      </c>
      <c r="V25" s="130" t="s">
        <v>24</v>
      </c>
      <c r="W25" s="98">
        <v>46204</v>
      </c>
      <c r="X25" s="96">
        <f>IF(Tabla3[[#This Row],[TIPO DE BIEN O SERVICIO]]="",0,+Tabla3[[#This Row],[MONTO BRUTO]]-Tabla3[[#This Row],[DETRACCION]])</f>
        <v>1729.1</v>
      </c>
      <c r="Y25" s="96">
        <f>+Tabla3[[#This Row],[MONTO NETO A PAGAR]]-Tabla3[[#This Row],[MONTO PAGADO]]</f>
        <v>0</v>
      </c>
      <c r="Z25" s="97" t="str">
        <f>IF(Tabla3[[#This Row],[MONTO PAGADO]]=0,"",(+IF(Tabla3[[#This Row],[SALDO POR PAGAR]]=0,"TOTAL","PARCIAL")))</f>
        <v>TOTAL</v>
      </c>
    </row>
    <row r="26" spans="1:26" x14ac:dyDescent="0.25">
      <c r="A26" s="65">
        <v>19</v>
      </c>
      <c r="B26" s="98">
        <v>46196</v>
      </c>
      <c r="C26" s="99">
        <v>46201</v>
      </c>
      <c r="D26" s="65" t="s">
        <v>1089</v>
      </c>
      <c r="E26" s="100" t="s">
        <v>1090</v>
      </c>
      <c r="F26" s="128" t="s">
        <v>20</v>
      </c>
      <c r="G26" s="101" t="s">
        <v>87</v>
      </c>
      <c r="H26" s="65" t="str">
        <f>IFERROR(+VLOOKUP(G26,Tabla1[#All],2,FALSE),"-")</f>
        <v>BAFER ENERGY ECONOMIC SAC</v>
      </c>
      <c r="I26" s="102" t="s">
        <v>85</v>
      </c>
      <c r="J26" s="103" t="s">
        <v>86</v>
      </c>
      <c r="K26" s="100" t="s">
        <v>89</v>
      </c>
      <c r="L26" s="104" t="s">
        <v>88</v>
      </c>
      <c r="M26" s="65" t="s">
        <v>1274</v>
      </c>
      <c r="N26" s="130" t="str">
        <f>IF(Tabla3[[#This Row],[NRO. DOI]]="","",(IF(Tabla3[[#This Row],[MONEDA]]="Soles",(+VLOOKUP(G26,Tabla1[#All],3,FALSE)),(+VLOOKUP(G26,Tabla6[#All],3,FALSE)))))</f>
        <v>CONTINENTAL</v>
      </c>
      <c r="O26" s="65" t="str">
        <f>IF(Tabla3[[#This Row],[NRO. DOI]]="","",(IF(Tabla3[[#This Row],[MONEDA]]="Soles",(+VLOOKUP(G26,Tabla1[#All],4,FALSE)),(+VLOOKUP(G26,Tabla6[#All],4,FALSE)))))</f>
        <v>00110102000100066704</v>
      </c>
      <c r="P26" s="102" t="s">
        <v>22</v>
      </c>
      <c r="Q26" s="131"/>
      <c r="R26" s="67">
        <f>3020.8*30%</f>
        <v>906.24</v>
      </c>
      <c r="S26" s="91">
        <f>+IF(Tabla3[[#This Row],[MONEDA]]="DOLARES",Tabla3[[#This Row],[MONTO BRUTO]]*Tabla3[[#This Row],[TIPO DE CAMBIO]],0)</f>
        <v>0</v>
      </c>
      <c r="T26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109</v>
      </c>
      <c r="U26" s="91">
        <f>IF(Tabla3[[#This Row],[TIPO DE BIEN O SERVICIO]]="",0,+Tabla3[[#This Row],[MONTO BRUTO]]-Tabla3[[#This Row],[DETRACCION]])</f>
        <v>797.24</v>
      </c>
      <c r="V26" s="130" t="s">
        <v>24</v>
      </c>
      <c r="W26" s="98">
        <v>46204</v>
      </c>
      <c r="X26" s="96">
        <f>IF(Tabla3[[#This Row],[TIPO DE BIEN O SERVICIO]]="",0,+Tabla3[[#This Row],[MONTO BRUTO]]-Tabla3[[#This Row],[DETRACCION]])</f>
        <v>797.24</v>
      </c>
      <c r="Y26" s="96">
        <f>+Tabla3[[#This Row],[MONTO NETO A PAGAR]]-Tabla3[[#This Row],[MONTO PAGADO]]</f>
        <v>0</v>
      </c>
      <c r="Z26" s="97" t="str">
        <f>IF(Tabla3[[#This Row],[MONTO PAGADO]]=0,"",(+IF(Tabla3[[#This Row],[SALDO POR PAGAR]]=0,"TOTAL","PARCIAL")))</f>
        <v>TOTAL</v>
      </c>
    </row>
    <row r="27" spans="1:26" x14ac:dyDescent="0.25">
      <c r="A27" s="65">
        <v>20</v>
      </c>
      <c r="B27" s="99">
        <v>46196</v>
      </c>
      <c r="C27" s="99">
        <v>46192</v>
      </c>
      <c r="D27" s="65" t="s">
        <v>1089</v>
      </c>
      <c r="E27" s="100" t="s">
        <v>1090</v>
      </c>
      <c r="F27" s="128" t="s">
        <v>20</v>
      </c>
      <c r="G27" s="101" t="s">
        <v>91</v>
      </c>
      <c r="H27" s="65" t="str">
        <f>IFERROR(+VLOOKUP(G27,Tabla1[#All],2,FALSE),"-")</f>
        <v>QUIMICA MULTIPLE INDUSTRIAL E.I.R.L.</v>
      </c>
      <c r="I27" s="102" t="s">
        <v>85</v>
      </c>
      <c r="J27" s="103" t="s">
        <v>90</v>
      </c>
      <c r="K27" s="100" t="s">
        <v>93</v>
      </c>
      <c r="L27" s="104" t="s">
        <v>92</v>
      </c>
      <c r="M27" s="65" t="s">
        <v>1272</v>
      </c>
      <c r="N27" s="130" t="str">
        <f>IF(Tabla3[[#This Row],[NRO. DOI]]="","",(IF(Tabla3[[#This Row],[MONEDA]]="Soles",(+VLOOKUP(G27,Tabla1[#All],3,FALSE)),(+VLOOKUP(G27,Tabla6[#All],3,FALSE)))))</f>
        <v>CONTINENTAL</v>
      </c>
      <c r="O27" s="65" t="str">
        <f>IF(Tabla3[[#This Row],[NRO. DOI]]="","",(IF(Tabla3[[#This Row],[MONEDA]]="Soles",(+VLOOKUP(G27,Tabla1[#All],4,FALSE)),(+VLOOKUP(G27,Tabla6[#All],4,FALSE)))))</f>
        <v>00110316000200761322</v>
      </c>
      <c r="P27" s="102" t="s">
        <v>22</v>
      </c>
      <c r="Q27" s="131"/>
      <c r="R27" s="67">
        <v>1295</v>
      </c>
      <c r="S27" s="91">
        <f>+IF(Tabla3[[#This Row],[MONEDA]]="DOLARES",Tabla3[[#This Row],[MONTO BRUTO]]*Tabla3[[#This Row],[TIPO DE CAMBIO]],0)</f>
        <v>0</v>
      </c>
      <c r="T27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7" s="91">
        <f>IF(Tabla3[[#This Row],[TIPO DE BIEN O SERVICIO]]="",0,+Tabla3[[#This Row],[MONTO BRUTO]]-Tabla3[[#This Row],[DETRACCION]])</f>
        <v>1295</v>
      </c>
      <c r="V27" s="130" t="s">
        <v>24</v>
      </c>
      <c r="W27" s="98">
        <v>46204</v>
      </c>
      <c r="X27" s="96">
        <f>IF(Tabla3[[#This Row],[TIPO DE BIEN O SERVICIO]]="",0,+Tabla3[[#This Row],[MONTO BRUTO]]-Tabla3[[#This Row],[DETRACCION]])</f>
        <v>1295</v>
      </c>
      <c r="Y27" s="96">
        <f>+Tabla3[[#This Row],[MONTO NETO A PAGAR]]-Tabla3[[#This Row],[MONTO PAGADO]]</f>
        <v>0</v>
      </c>
      <c r="Z27" s="97" t="str">
        <f>IF(Tabla3[[#This Row],[MONTO PAGADO]]=0,"",(+IF(Tabla3[[#This Row],[SALDO POR PAGAR]]=0,"TOTAL","PARCIAL")))</f>
        <v>TOTAL</v>
      </c>
    </row>
    <row r="28" spans="1:26" x14ac:dyDescent="0.25">
      <c r="A28" s="65">
        <v>21</v>
      </c>
      <c r="B28" s="98">
        <v>46196</v>
      </c>
      <c r="C28" s="99">
        <v>46189</v>
      </c>
      <c r="D28" s="65" t="s">
        <v>1089</v>
      </c>
      <c r="E28" s="100" t="s">
        <v>1090</v>
      </c>
      <c r="F28" s="128" t="s">
        <v>20</v>
      </c>
      <c r="G28" s="101" t="s">
        <v>91</v>
      </c>
      <c r="H28" s="65" t="str">
        <f>IFERROR(+VLOOKUP(G28,Tabla1[#All],2,FALSE),"-")</f>
        <v>QUIMICA MULTIPLE INDUSTRIAL E.I.R.L.</v>
      </c>
      <c r="I28" s="102" t="s">
        <v>85</v>
      </c>
      <c r="J28" s="103" t="s">
        <v>94</v>
      </c>
      <c r="K28" s="100" t="s">
        <v>95</v>
      </c>
      <c r="L28" s="104" t="s">
        <v>92</v>
      </c>
      <c r="M28" s="65" t="s">
        <v>1272</v>
      </c>
      <c r="N28" s="130" t="str">
        <f>IF(Tabla3[[#This Row],[NRO. DOI]]="","",(IF(Tabla3[[#This Row],[MONEDA]]="Soles",(+VLOOKUP(G28,Tabla1[#All],3,FALSE)),(+VLOOKUP(G28,Tabla6[#All],3,FALSE)))))</f>
        <v>CONTINENTAL</v>
      </c>
      <c r="O28" s="65" t="str">
        <f>IF(Tabla3[[#This Row],[NRO. DOI]]="","",(IF(Tabla3[[#This Row],[MONEDA]]="Soles",(+VLOOKUP(G28,Tabla1[#All],4,FALSE)),(+VLOOKUP(G28,Tabla6[#All],4,FALSE)))))</f>
        <v>00110316000200761322</v>
      </c>
      <c r="P28" s="102" t="s">
        <v>22</v>
      </c>
      <c r="Q28" s="131"/>
      <c r="R28" s="67">
        <v>3725</v>
      </c>
      <c r="S28" s="91">
        <f>+IF(Tabla3[[#This Row],[MONEDA]]="DOLARES",Tabla3[[#This Row],[MONTO BRUTO]]*Tabla3[[#This Row],[TIPO DE CAMBIO]],0)</f>
        <v>0</v>
      </c>
      <c r="T2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8" s="91">
        <f>IF(Tabla3[[#This Row],[TIPO DE BIEN O SERVICIO]]="",0,+Tabla3[[#This Row],[MONTO BRUTO]]-Tabla3[[#This Row],[DETRACCION]])</f>
        <v>3725</v>
      </c>
      <c r="V28" s="130" t="s">
        <v>24</v>
      </c>
      <c r="W28" s="98">
        <v>46204</v>
      </c>
      <c r="X28" s="96">
        <f>IF(Tabla3[[#This Row],[TIPO DE BIEN O SERVICIO]]="",0,+Tabla3[[#This Row],[MONTO BRUTO]]-Tabla3[[#This Row],[DETRACCION]])</f>
        <v>3725</v>
      </c>
      <c r="Y28" s="96">
        <f>+Tabla3[[#This Row],[MONTO NETO A PAGAR]]-Tabla3[[#This Row],[MONTO PAGADO]]</f>
        <v>0</v>
      </c>
      <c r="Z28" s="97" t="str">
        <f>IF(Tabla3[[#This Row],[MONTO PAGADO]]=0,"",(+IF(Tabla3[[#This Row],[SALDO POR PAGAR]]=0,"TOTAL","PARCIAL")))</f>
        <v>TOTAL</v>
      </c>
    </row>
    <row r="29" spans="1:26" x14ac:dyDescent="0.25">
      <c r="A29" s="65">
        <v>22</v>
      </c>
      <c r="B29" s="98">
        <v>46196</v>
      </c>
      <c r="C29" s="99">
        <v>46204</v>
      </c>
      <c r="D29" s="65" t="s">
        <v>1089</v>
      </c>
      <c r="E29" s="100" t="s">
        <v>1090</v>
      </c>
      <c r="F29" s="128" t="s">
        <v>46</v>
      </c>
      <c r="G29" s="101" t="s">
        <v>98</v>
      </c>
      <c r="H29" s="65" t="str">
        <f>IFERROR(+VLOOKUP(G29,Tabla1[#All],2,FALSE),"-")</f>
        <v>TAFUR DURAND ERIKA</v>
      </c>
      <c r="I29" s="102" t="s">
        <v>85</v>
      </c>
      <c r="J29" s="103" t="s">
        <v>96</v>
      </c>
      <c r="K29" s="106" t="s">
        <v>1249</v>
      </c>
      <c r="L29" s="104" t="s">
        <v>99</v>
      </c>
      <c r="M29" s="65" t="s">
        <v>1286</v>
      </c>
      <c r="N29" s="130" t="str">
        <f>IF(Tabla3[[#This Row],[NRO. DOI]]="","",(IF(Tabla3[[#This Row],[MONEDA]]="Soles",(+VLOOKUP(G29,Tabla1[#All],3,FALSE)),(+VLOOKUP(G29,Tabla6[#All],3,FALSE)))))</f>
        <v>CONTINENTAL</v>
      </c>
      <c r="O29" s="65" t="str">
        <f>IF(Tabla3[[#This Row],[NRO. DOI]]="","",(IF(Tabla3[[#This Row],[MONEDA]]="Soles",(+VLOOKUP(G29,Tabla1[#All],4,FALSE)),(+VLOOKUP(G29,Tabla6[#All],4,FALSE)))))</f>
        <v>00110814000206329403</v>
      </c>
      <c r="P29" s="102" t="s">
        <v>22</v>
      </c>
      <c r="Q29" s="131"/>
      <c r="R29" s="67">
        <v>1925</v>
      </c>
      <c r="S29" s="91">
        <f>+IF(Tabla3[[#This Row],[MONEDA]]="DOLARES",Tabla3[[#This Row],[MONTO BRUTO]]*Tabla3[[#This Row],[TIPO DE CAMBIO]],0)</f>
        <v>0</v>
      </c>
      <c r="T2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29" s="91">
        <f>IF(Tabla3[[#This Row],[TIPO DE BIEN O SERVICIO]]="",0,+Tabla3[[#This Row],[MONTO BRUTO]]-Tabla3[[#This Row],[DETRACCION]])</f>
        <v>1925</v>
      </c>
      <c r="V29" s="130" t="s">
        <v>24</v>
      </c>
      <c r="W29" s="98">
        <v>46204</v>
      </c>
      <c r="X29" s="96">
        <f>IF(Tabla3[[#This Row],[TIPO DE BIEN O SERVICIO]]="",0,+Tabla3[[#This Row],[MONTO BRUTO]]-Tabla3[[#This Row],[DETRACCION]])</f>
        <v>1925</v>
      </c>
      <c r="Y29" s="96">
        <f>+Tabla3[[#This Row],[MONTO NETO A PAGAR]]-Tabla3[[#This Row],[MONTO PAGADO]]</f>
        <v>0</v>
      </c>
      <c r="Z29" s="97" t="str">
        <f>IF(Tabla3[[#This Row],[MONTO PAGADO]]=0,"",(+IF(Tabla3[[#This Row],[SALDO POR PAGAR]]=0,"TOTAL","PARCIAL")))</f>
        <v>TOTAL</v>
      </c>
    </row>
    <row r="30" spans="1:26" x14ac:dyDescent="0.25">
      <c r="A30" s="65">
        <v>23</v>
      </c>
      <c r="B30" s="98">
        <v>46195</v>
      </c>
      <c r="C30" s="98">
        <v>46195</v>
      </c>
      <c r="D30" s="65" t="s">
        <v>1089</v>
      </c>
      <c r="E30" s="100" t="s">
        <v>1090</v>
      </c>
      <c r="F30" s="128" t="s">
        <v>20</v>
      </c>
      <c r="G30" s="101" t="s">
        <v>100</v>
      </c>
      <c r="H30" s="65" t="str">
        <f>IFERROR(+VLOOKUP(G30,Tabla1[#All],2,FALSE),"-")</f>
        <v>MORA CHERO RICARDO</v>
      </c>
      <c r="I30" s="102" t="s">
        <v>85</v>
      </c>
      <c r="J30" s="103" t="s">
        <v>96</v>
      </c>
      <c r="K30" s="100" t="s">
        <v>102</v>
      </c>
      <c r="L30" s="104" t="s">
        <v>101</v>
      </c>
      <c r="M30" s="65" t="s">
        <v>1272</v>
      </c>
      <c r="N30" s="130" t="str">
        <f>IF(Tabla3[[#This Row],[NRO. DOI]]="","",(IF(Tabla3[[#This Row],[MONEDA]]="Soles",(+VLOOKUP(G30,Tabla1[#All],3,FALSE)),(+VLOOKUP(G30,Tabla6[#All],3,FALSE)))))</f>
        <v>OTRO BANCO</v>
      </c>
      <c r="O30" s="65" t="str">
        <f>IF(Tabla3[[#This Row],[NRO. DOI]]="","",(IF(Tabla3[[#This Row],[MONEDA]]="Soles",(+VLOOKUP(G30,Tabla1[#All],4,FALSE)),(+VLOOKUP(G30,Tabla6[#All],4,FALSE)))))</f>
        <v>00219117760935908955</v>
      </c>
      <c r="P30" s="102" t="s">
        <v>22</v>
      </c>
      <c r="Q30" s="131"/>
      <c r="R30" s="67">
        <v>1820</v>
      </c>
      <c r="S30" s="91">
        <f>+IF(Tabla3[[#This Row],[MONEDA]]="DOLARES",Tabla3[[#This Row],[MONTO BRUTO]]*Tabla3[[#This Row],[TIPO DE CAMBIO]],0)</f>
        <v>0</v>
      </c>
      <c r="T3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0" s="91">
        <f>IF(Tabla3[[#This Row],[TIPO DE BIEN O SERVICIO]]="",0,+Tabla3[[#This Row],[MONTO BRUTO]]-Tabla3[[#This Row],[DETRACCION]])</f>
        <v>1820</v>
      </c>
      <c r="V30" s="130" t="s">
        <v>24</v>
      </c>
      <c r="W30" s="98">
        <v>46204</v>
      </c>
      <c r="X30" s="96">
        <f>IF(Tabla3[[#This Row],[TIPO DE BIEN O SERVICIO]]="",0,+Tabla3[[#This Row],[MONTO BRUTO]]-Tabla3[[#This Row],[DETRACCION]])</f>
        <v>1820</v>
      </c>
      <c r="Y30" s="96">
        <f>+Tabla3[[#This Row],[MONTO NETO A PAGAR]]-Tabla3[[#This Row],[MONTO PAGADO]]</f>
        <v>0</v>
      </c>
      <c r="Z30" s="97" t="str">
        <f>IF(Tabla3[[#This Row],[MONTO PAGADO]]=0,"",(+IF(Tabla3[[#This Row],[SALDO POR PAGAR]]=0,"TOTAL","PARCIAL")))</f>
        <v>TOTAL</v>
      </c>
    </row>
    <row r="31" spans="1:26" x14ac:dyDescent="0.25">
      <c r="A31" s="65">
        <v>24</v>
      </c>
      <c r="B31" s="98">
        <v>46196</v>
      </c>
      <c r="C31" s="99">
        <v>46182</v>
      </c>
      <c r="D31" s="65" t="s">
        <v>1089</v>
      </c>
      <c r="E31" s="100" t="s">
        <v>1090</v>
      </c>
      <c r="F31" s="128" t="s">
        <v>20</v>
      </c>
      <c r="G31" s="101" t="s">
        <v>105</v>
      </c>
      <c r="H31" s="65" t="str">
        <f>IFERROR(+VLOOKUP(G31,Tabla1[#All],2,FALSE),"-")</f>
        <v>WIN EMPRESAS SAC</v>
      </c>
      <c r="I31" s="102" t="s">
        <v>103</v>
      </c>
      <c r="J31" s="103" t="s">
        <v>104</v>
      </c>
      <c r="K31" s="100" t="s">
        <v>107</v>
      </c>
      <c r="L31" s="104" t="s">
        <v>106</v>
      </c>
      <c r="M31" s="65" t="s">
        <v>1287</v>
      </c>
      <c r="N31" s="130" t="str">
        <f>IF(Tabla3[[#This Row],[NRO. DOI]]="","",(IF(Tabla3[[#This Row],[MONEDA]]="Soles",(+VLOOKUP(G31,Tabla1[#All],3,FALSE)),(+VLOOKUP(G31,Tabla6[#All],3,FALSE)))))</f>
        <v>OTRO BANCO</v>
      </c>
      <c r="O31" s="65" t="str">
        <f>IF(Tabla3[[#This Row],[NRO. DOI]]="","",(IF(Tabla3[[#This Row],[MONEDA]]="Soles",(+VLOOKUP(G31,Tabla1[#All],4,FALSE)),(+VLOOKUP(G31,Tabla6[#All],4,FALSE)))))</f>
        <v>00219400212888508794</v>
      </c>
      <c r="P31" s="102" t="s">
        <v>22</v>
      </c>
      <c r="Q31" s="131"/>
      <c r="R31" s="67">
        <v>2702.2</v>
      </c>
      <c r="S31" s="91">
        <f>+IF(Tabla3[[#This Row],[MONEDA]]="DOLARES",Tabla3[[#This Row],[MONTO BRUTO]]*Tabla3[[#This Row],[TIPO DE CAMBIO]],0)</f>
        <v>0</v>
      </c>
      <c r="T3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270</v>
      </c>
      <c r="U31" s="91">
        <f>IF(Tabla3[[#This Row],[TIPO DE BIEN O SERVICIO]]="",0,+Tabla3[[#This Row],[MONTO BRUTO]]-Tabla3[[#This Row],[DETRACCION]])</f>
        <v>2432.1999999999998</v>
      </c>
      <c r="V31" s="130" t="s">
        <v>24</v>
      </c>
      <c r="W31" s="98">
        <v>46204</v>
      </c>
      <c r="X31" s="96">
        <f>IF(Tabla3[[#This Row],[TIPO DE BIEN O SERVICIO]]="",0,+Tabla3[[#This Row],[MONTO BRUTO]]-Tabla3[[#This Row],[DETRACCION]])</f>
        <v>2432.1999999999998</v>
      </c>
      <c r="Y31" s="96">
        <f>+Tabla3[[#This Row],[MONTO NETO A PAGAR]]-Tabla3[[#This Row],[MONTO PAGADO]]</f>
        <v>0</v>
      </c>
      <c r="Z31" s="97" t="str">
        <f>IF(Tabla3[[#This Row],[MONTO PAGADO]]=0,"",(+IF(Tabla3[[#This Row],[SALDO POR PAGAR]]=0,"TOTAL","PARCIAL")))</f>
        <v>TOTAL</v>
      </c>
    </row>
    <row r="32" spans="1:26" x14ac:dyDescent="0.25">
      <c r="A32" s="65">
        <v>25</v>
      </c>
      <c r="B32" s="98">
        <v>46196</v>
      </c>
      <c r="C32" s="99">
        <v>46173</v>
      </c>
      <c r="D32" s="65" t="s">
        <v>1089</v>
      </c>
      <c r="E32" s="100" t="s">
        <v>1090</v>
      </c>
      <c r="F32" s="128" t="s">
        <v>20</v>
      </c>
      <c r="G32" s="101" t="s">
        <v>109</v>
      </c>
      <c r="H32" s="65" t="str">
        <f>IFERROR(+VLOOKUP(G32,Tabla1[#All],2,FALSE),"-")</f>
        <v>EQUIFAX PERU SAC</v>
      </c>
      <c r="I32" s="102" t="s">
        <v>18</v>
      </c>
      <c r="J32" s="103" t="s">
        <v>108</v>
      </c>
      <c r="K32" s="100" t="s">
        <v>111</v>
      </c>
      <c r="L32" s="104" t="s">
        <v>110</v>
      </c>
      <c r="M32" s="65" t="s">
        <v>1288</v>
      </c>
      <c r="N32" s="130" t="str">
        <f>IF(Tabla3[[#This Row],[NRO. DOI]]="","",(IF(Tabla3[[#This Row],[MONEDA]]="Soles",(+VLOOKUP(G32,Tabla1[#All],3,FALSE)),(+VLOOKUP(G32,Tabla6[#All],3,FALSE)))))</f>
        <v>OTRO BANCO</v>
      </c>
      <c r="O32" s="65" t="str">
        <f>IF(Tabla3[[#This Row],[NRO. DOI]]="","",(IF(Tabla3[[#This Row],[MONEDA]]="Soles",(+VLOOKUP(G32,Tabla1[#All],4,FALSE)),(+VLOOKUP(G32,Tabla6[#All],4,FALSE)))))</f>
        <v>00219400211742109092</v>
      </c>
      <c r="P32" s="102" t="s">
        <v>22</v>
      </c>
      <c r="Q32" s="131"/>
      <c r="R32" s="67">
        <v>577.02</v>
      </c>
      <c r="S32" s="91">
        <f>+IF(Tabla3[[#This Row],[MONEDA]]="DOLARES",Tabla3[[#This Row],[MONTO BRUTO]]*Tabla3[[#This Row],[TIPO DE CAMBIO]],0)</f>
        <v>0</v>
      </c>
      <c r="T32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2" s="91">
        <f>IF(Tabla3[[#This Row],[TIPO DE BIEN O SERVICIO]]="",0,+Tabla3[[#This Row],[MONTO BRUTO]]-Tabla3[[#This Row],[DETRACCION]])</f>
        <v>577.02</v>
      </c>
      <c r="V32" s="130" t="s">
        <v>24</v>
      </c>
      <c r="W32" s="98">
        <v>46204</v>
      </c>
      <c r="X32" s="96">
        <f>IF(Tabla3[[#This Row],[TIPO DE BIEN O SERVICIO]]="",0,+Tabla3[[#This Row],[MONTO BRUTO]]-Tabla3[[#This Row],[DETRACCION]])</f>
        <v>577.02</v>
      </c>
      <c r="Y32" s="96">
        <f>+Tabla3[[#This Row],[MONTO NETO A PAGAR]]-Tabla3[[#This Row],[MONTO PAGADO]]</f>
        <v>0</v>
      </c>
      <c r="Z32" s="97" t="str">
        <f>IF(Tabla3[[#This Row],[MONTO PAGADO]]=0,"",(+IF(Tabla3[[#This Row],[SALDO POR PAGAR]]=0,"TOTAL","PARCIAL")))</f>
        <v>TOTAL</v>
      </c>
    </row>
    <row r="33" spans="1:26" x14ac:dyDescent="0.25">
      <c r="A33" s="65">
        <v>26</v>
      </c>
      <c r="B33" s="98">
        <v>46197</v>
      </c>
      <c r="C33" s="99">
        <v>46196</v>
      </c>
      <c r="D33" s="65" t="s">
        <v>1089</v>
      </c>
      <c r="E33" s="100" t="s">
        <v>1090</v>
      </c>
      <c r="F33" s="128" t="s">
        <v>20</v>
      </c>
      <c r="G33" s="101" t="s">
        <v>26</v>
      </c>
      <c r="H33" s="65" t="str">
        <f>IFERROR(+VLOOKUP(G33,Tabla1[#All],2,FALSE),"-")</f>
        <v>CLYDE PUBLICIDAD S.A.C.</v>
      </c>
      <c r="I33" s="102" t="s">
        <v>18</v>
      </c>
      <c r="J33" s="103" t="s">
        <v>112</v>
      </c>
      <c r="K33" s="100" t="s">
        <v>114</v>
      </c>
      <c r="L33" s="104" t="s">
        <v>113</v>
      </c>
      <c r="M33" s="65" t="s">
        <v>1288</v>
      </c>
      <c r="N33" s="130" t="str">
        <f>IF(Tabla3[[#This Row],[NRO. DOI]]="","",(IF(Tabla3[[#This Row],[MONEDA]]="Soles",(+VLOOKUP(G33,Tabla1[#All],3,FALSE)),(+VLOOKUP(G33,Tabla6[#All],3,FALSE)))))</f>
        <v>OTRO BANCO</v>
      </c>
      <c r="O33" s="65" t="str">
        <f>IF(Tabla3[[#This Row],[NRO. DOI]]="","",(IF(Tabla3[[#This Row],[MONEDA]]="Soles",(+VLOOKUP(G33,Tabla1[#All],4,FALSE)),(+VLOOKUP(G33,Tabla6[#All],4,FALSE)))))</f>
        <v>00219300713694516113</v>
      </c>
      <c r="P33" s="102" t="s">
        <v>27</v>
      </c>
      <c r="Q33" s="132">
        <v>3.5</v>
      </c>
      <c r="R33" s="91">
        <v>1652</v>
      </c>
      <c r="S33" s="91">
        <f>+IF(Tabla3[[#This Row],[MONEDA]]="DOLARES",Tabla3[[#This Row],[MONTO BRUTO]]*Tabla3[[#This Row],[TIPO DE CAMBIO]],0)</f>
        <v>5782</v>
      </c>
      <c r="T33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198</v>
      </c>
      <c r="U33" s="91">
        <f>IF(Tabla3[[#This Row],[TIPO DE BIEN O SERVICIO]]="",0,+Tabla3[[#This Row],[MONTO BRUTO]]-Tabla3[[#This Row],[DETRACCION]])</f>
        <v>1454</v>
      </c>
      <c r="V33" s="130" t="s">
        <v>217</v>
      </c>
      <c r="W33" s="98">
        <v>46204</v>
      </c>
      <c r="X33" s="96">
        <f>IF(Tabla3[[#This Row],[TIPO DE BIEN O SERVICIO]]="",0,+Tabla3[[#This Row],[MONTO BRUTO]]-Tabla3[[#This Row],[DETRACCION]])</f>
        <v>1454</v>
      </c>
      <c r="Y33" s="96">
        <f>+Tabla3[[#This Row],[MONTO NETO A PAGAR]]-Tabla3[[#This Row],[MONTO PAGADO]]</f>
        <v>0</v>
      </c>
      <c r="Z33" s="97" t="str">
        <f>IF(Tabla3[[#This Row],[MONTO PAGADO]]=0,"",(+IF(Tabla3[[#This Row],[SALDO POR PAGAR]]=0,"TOTAL","PARCIAL")))</f>
        <v>TOTAL</v>
      </c>
    </row>
    <row r="34" spans="1:26" x14ac:dyDescent="0.25">
      <c r="A34" s="65">
        <v>27</v>
      </c>
      <c r="B34" s="98">
        <v>46198</v>
      </c>
      <c r="C34" s="98">
        <v>46198</v>
      </c>
      <c r="D34" s="65" t="s">
        <v>1089</v>
      </c>
      <c r="E34" s="100" t="s">
        <v>1090</v>
      </c>
      <c r="F34" s="128" t="s">
        <v>20</v>
      </c>
      <c r="G34" s="101" t="s">
        <v>116</v>
      </c>
      <c r="H34" s="65" t="str">
        <f>IFERROR(+VLOOKUP(G34,Tabla1[#All],2,FALSE),"-")</f>
        <v>JAGUAR SOFT S.A.C.</v>
      </c>
      <c r="I34" s="102" t="s">
        <v>18</v>
      </c>
      <c r="J34" s="103" t="s">
        <v>115</v>
      </c>
      <c r="K34" s="100" t="s">
        <v>118</v>
      </c>
      <c r="L34" s="104" t="s">
        <v>117</v>
      </c>
      <c r="M34" s="65" t="s">
        <v>1273</v>
      </c>
      <c r="N34" s="130" t="str">
        <f>IF(Tabla3[[#This Row],[NRO. DOI]]="","",(IF(Tabla3[[#This Row],[MONEDA]]="Soles",(+VLOOKUP(G34,Tabla1[#All],3,FALSE)),(+VLOOKUP(G34,Tabla6[#All],3,FALSE)))))</f>
        <v>CONTINENTAL</v>
      </c>
      <c r="O34" s="65" t="str">
        <f>IF(Tabla3[[#This Row],[NRO. DOI]]="","",(IF(Tabla3[[#This Row],[MONEDA]]="Soles",(+VLOOKUP(G34,Tabla1[#All],4,FALSE)),(+VLOOKUP(G34,Tabla6[#All],4,FALSE)))))</f>
        <v>00110261000200336577</v>
      </c>
      <c r="P34" s="102" t="s">
        <v>22</v>
      </c>
      <c r="Q34" s="131"/>
      <c r="R34" s="67">
        <v>1036</v>
      </c>
      <c r="S34" s="91">
        <f>+IF(Tabla3[[#This Row],[MONEDA]]="DOLARES",Tabla3[[#This Row],[MONTO BRUTO]]*Tabla3[[#This Row],[TIPO DE CAMBIO]],0)</f>
        <v>0</v>
      </c>
      <c r="T3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124</v>
      </c>
      <c r="U34" s="91">
        <f>IF(Tabla3[[#This Row],[TIPO DE BIEN O SERVICIO]]="",0,+Tabla3[[#This Row],[MONTO BRUTO]]-Tabla3[[#This Row],[DETRACCION]])</f>
        <v>912</v>
      </c>
      <c r="V34" s="130" t="s">
        <v>24</v>
      </c>
      <c r="W34" s="98">
        <v>46204</v>
      </c>
      <c r="X34" s="96">
        <f>IF(Tabla3[[#This Row],[TIPO DE BIEN O SERVICIO]]="",0,+Tabla3[[#This Row],[MONTO BRUTO]]-Tabla3[[#This Row],[DETRACCION]])</f>
        <v>912</v>
      </c>
      <c r="Y34" s="96">
        <f>+Tabla3[[#This Row],[MONTO NETO A PAGAR]]-Tabla3[[#This Row],[MONTO PAGADO]]</f>
        <v>0</v>
      </c>
      <c r="Z34" s="97" t="str">
        <f>IF(Tabla3[[#This Row],[MONTO PAGADO]]=0,"",(+IF(Tabla3[[#This Row],[SALDO POR PAGAR]]=0,"TOTAL","PARCIAL")))</f>
        <v>TOTAL</v>
      </c>
    </row>
    <row r="35" spans="1:26" x14ac:dyDescent="0.25">
      <c r="A35" s="65">
        <v>28</v>
      </c>
      <c r="B35" s="98">
        <v>46198</v>
      </c>
      <c r="C35" s="99">
        <v>46198</v>
      </c>
      <c r="D35" s="65" t="s">
        <v>1089</v>
      </c>
      <c r="E35" s="100" t="s">
        <v>1090</v>
      </c>
      <c r="F35" s="128" t="s">
        <v>20</v>
      </c>
      <c r="G35" s="101" t="s">
        <v>119</v>
      </c>
      <c r="H35" s="65" t="str">
        <f>IFERROR(+VLOOKUP(G35,Tabla1[#All],2,FALSE),"-")</f>
        <v>PROYECTOS Y SOLUCIONES MIGUELITO S.A.C.</v>
      </c>
      <c r="I35" s="102" t="s">
        <v>85</v>
      </c>
      <c r="J35" s="103" t="s">
        <v>96</v>
      </c>
      <c r="K35" s="100" t="s">
        <v>121</v>
      </c>
      <c r="L35" s="104" t="s">
        <v>120</v>
      </c>
      <c r="M35" s="65" t="s">
        <v>1281</v>
      </c>
      <c r="N35" s="130" t="str">
        <f>IF(Tabla3[[#This Row],[NRO. DOI]]="","",(IF(Tabla3[[#This Row],[MONEDA]]="Soles",(+VLOOKUP(G35,Tabla1[#All],3,FALSE)),(+VLOOKUP(G35,Tabla6[#All],3,FALSE)))))</f>
        <v>OTRO BANCO</v>
      </c>
      <c r="O35" s="65" t="str">
        <f>IF(Tabla3[[#This Row],[NRO. DOI]]="","",(IF(Tabla3[[#This Row],[MONEDA]]="Soles",(+VLOOKUP(G35,Tabla1[#All],4,FALSE)),(+VLOOKUP(G35,Tabla6[#All],4,FALSE)))))</f>
        <v>00320000300673249434</v>
      </c>
      <c r="P35" s="102" t="s">
        <v>22</v>
      </c>
      <c r="Q35" s="131"/>
      <c r="R35" s="67">
        <v>700</v>
      </c>
      <c r="S35" s="91">
        <f>+IF(Tabla3[[#This Row],[MONEDA]]="DOLARES",Tabla3[[#This Row],[MONTO BRUTO]]*Tabla3[[#This Row],[TIPO DE CAMBIO]],0)</f>
        <v>0</v>
      </c>
      <c r="T3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5" s="91">
        <f>IF(Tabla3[[#This Row],[TIPO DE BIEN O SERVICIO]]="",0,+Tabla3[[#This Row],[MONTO BRUTO]]-Tabla3[[#This Row],[DETRACCION]])</f>
        <v>700</v>
      </c>
      <c r="V35" s="130" t="s">
        <v>24</v>
      </c>
      <c r="W35" s="98">
        <v>46204</v>
      </c>
      <c r="X35" s="96">
        <f>IF(Tabla3[[#This Row],[TIPO DE BIEN O SERVICIO]]="",0,+Tabla3[[#This Row],[MONTO BRUTO]]-Tabla3[[#This Row],[DETRACCION]])</f>
        <v>700</v>
      </c>
      <c r="Y35" s="96">
        <f>+Tabla3[[#This Row],[MONTO NETO A PAGAR]]-Tabla3[[#This Row],[MONTO PAGADO]]</f>
        <v>0</v>
      </c>
      <c r="Z35" s="97" t="str">
        <f>IF(Tabla3[[#This Row],[MONTO PAGADO]]=0,"",(+IF(Tabla3[[#This Row],[SALDO POR PAGAR]]=0,"TOTAL","PARCIAL")))</f>
        <v>TOTAL</v>
      </c>
    </row>
    <row r="36" spans="1:26" x14ac:dyDescent="0.25">
      <c r="A36" s="65">
        <v>29</v>
      </c>
      <c r="B36" s="98">
        <v>46198</v>
      </c>
      <c r="C36" s="99">
        <v>46198</v>
      </c>
      <c r="D36" s="65" t="s">
        <v>1089</v>
      </c>
      <c r="E36" s="100" t="s">
        <v>1090</v>
      </c>
      <c r="F36" s="128" t="s">
        <v>46</v>
      </c>
      <c r="G36" s="101" t="s">
        <v>122</v>
      </c>
      <c r="H36" s="65" t="str">
        <f>IFERROR(+VLOOKUP(G36,Tabla1[#All],2,FALSE),"-")</f>
        <v>CARHUACHIN TOLENTINO HECTOR ERWIN</v>
      </c>
      <c r="I36" s="102" t="s">
        <v>68</v>
      </c>
      <c r="J36" s="103" t="s">
        <v>41</v>
      </c>
      <c r="K36" s="100" t="s">
        <v>124</v>
      </c>
      <c r="L36" s="104" t="s">
        <v>123</v>
      </c>
      <c r="M36" s="65" t="s">
        <v>1276</v>
      </c>
      <c r="N36" s="130" t="str">
        <f>IF(Tabla3[[#This Row],[NRO. DOI]]="","",(IF(Tabla3[[#This Row],[MONEDA]]="Soles",(+VLOOKUP(G36,Tabla1[#All],3,FALSE)),(+VLOOKUP(G36,Tabla6[#All],3,FALSE)))))</f>
        <v>CONTINENTAL</v>
      </c>
      <c r="O36" s="65" t="str">
        <f>IF(Tabla3[[#This Row],[NRO. DOI]]="","",(IF(Tabla3[[#This Row],[MONEDA]]="Soles",(+VLOOKUP(G36,Tabla1[#All],4,FALSE)),(+VLOOKUP(G36,Tabla6[#All],4,FALSE)))))</f>
        <v>00110579000231859577</v>
      </c>
      <c r="P36" s="102" t="s">
        <v>22</v>
      </c>
      <c r="Q36" s="131"/>
      <c r="R36" s="67">
        <v>180</v>
      </c>
      <c r="S36" s="91">
        <f>+IF(Tabla3[[#This Row],[MONEDA]]="DOLARES",Tabla3[[#This Row],[MONTO BRUTO]]*Tabla3[[#This Row],[TIPO DE CAMBIO]],0)</f>
        <v>0</v>
      </c>
      <c r="T36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6" s="91">
        <f>IF(Tabla3[[#This Row],[TIPO DE BIEN O SERVICIO]]="",0,+Tabla3[[#This Row],[MONTO BRUTO]]-Tabla3[[#This Row],[DETRACCION]])</f>
        <v>180</v>
      </c>
      <c r="V36" s="130" t="s">
        <v>24</v>
      </c>
      <c r="W36" s="98">
        <v>46204</v>
      </c>
      <c r="X36" s="96">
        <f>IF(Tabla3[[#This Row],[TIPO DE BIEN O SERVICIO]]="",0,+Tabla3[[#This Row],[MONTO BRUTO]]-Tabla3[[#This Row],[DETRACCION]])</f>
        <v>180</v>
      </c>
      <c r="Y36" s="96">
        <f>+Tabla3[[#This Row],[MONTO NETO A PAGAR]]-Tabla3[[#This Row],[MONTO PAGADO]]</f>
        <v>0</v>
      </c>
      <c r="Z36" s="97" t="str">
        <f>IF(Tabla3[[#This Row],[MONTO PAGADO]]=0,"",(+IF(Tabla3[[#This Row],[SALDO POR PAGAR]]=0,"TOTAL","PARCIAL")))</f>
        <v>TOTAL</v>
      </c>
    </row>
    <row r="37" spans="1:26" x14ac:dyDescent="0.25">
      <c r="A37" s="65">
        <v>30</v>
      </c>
      <c r="B37" s="98">
        <v>46198</v>
      </c>
      <c r="C37" s="99">
        <v>46198</v>
      </c>
      <c r="D37" s="65" t="s">
        <v>1089</v>
      </c>
      <c r="E37" s="100" t="s">
        <v>1090</v>
      </c>
      <c r="F37" s="128" t="s">
        <v>20</v>
      </c>
      <c r="G37" s="101" t="s">
        <v>125</v>
      </c>
      <c r="H37" s="65" t="str">
        <f>IFERROR(+VLOOKUP(G37,Tabla1[#All],2,FALSE),"-")</f>
        <v>GARCIA MALLQUI FRANCISCO AMANCIO</v>
      </c>
      <c r="I37" s="102" t="s">
        <v>85</v>
      </c>
      <c r="J37" s="103" t="s">
        <v>96</v>
      </c>
      <c r="K37" s="100" t="s">
        <v>127</v>
      </c>
      <c r="L37" s="104" t="s">
        <v>126</v>
      </c>
      <c r="M37" s="65" t="s">
        <v>1286</v>
      </c>
      <c r="N37" s="130" t="str">
        <f>IF(Tabla3[[#This Row],[NRO. DOI]]="","",(IF(Tabla3[[#This Row],[MONEDA]]="Soles",(+VLOOKUP(G37,Tabla1[#All],3,FALSE)),(+VLOOKUP(G37,Tabla6[#All],3,FALSE)))))</f>
        <v>OTRO BANCO</v>
      </c>
      <c r="O37" s="65" t="str">
        <f>IF(Tabla3[[#This Row],[NRO. DOI]]="","",(IF(Tabla3[[#This Row],[MONEDA]]="Soles",(+VLOOKUP(G37,Tabla1[#All],4,FALSE)),(+VLOOKUP(G37,Tabla6[#All],4,FALSE)))))</f>
        <v>00219112125924608454</v>
      </c>
      <c r="P37" s="102" t="s">
        <v>22</v>
      </c>
      <c r="Q37" s="131"/>
      <c r="R37" s="67">
        <v>190</v>
      </c>
      <c r="S37" s="91">
        <f>+IF(Tabla3[[#This Row],[MONEDA]]="DOLARES",Tabla3[[#This Row],[MONTO BRUTO]]*Tabla3[[#This Row],[TIPO DE CAMBIO]],0)</f>
        <v>0</v>
      </c>
      <c r="T37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7" s="91">
        <f>IF(Tabla3[[#This Row],[TIPO DE BIEN O SERVICIO]]="",0,+Tabla3[[#This Row],[MONTO BRUTO]]-Tabla3[[#This Row],[DETRACCION]])</f>
        <v>190</v>
      </c>
      <c r="V37" s="130" t="s">
        <v>24</v>
      </c>
      <c r="W37" s="98">
        <v>46204</v>
      </c>
      <c r="X37" s="96">
        <f>IF(Tabla3[[#This Row],[TIPO DE BIEN O SERVICIO]]="",0,+Tabla3[[#This Row],[MONTO BRUTO]]-Tabla3[[#This Row],[DETRACCION]])</f>
        <v>190</v>
      </c>
      <c r="Y37" s="96">
        <f>+Tabla3[[#This Row],[MONTO NETO A PAGAR]]-Tabla3[[#This Row],[MONTO PAGADO]]</f>
        <v>0</v>
      </c>
      <c r="Z37" s="97" t="str">
        <f>IF(Tabla3[[#This Row],[MONTO PAGADO]]=0,"",(+IF(Tabla3[[#This Row],[SALDO POR PAGAR]]=0,"TOTAL","PARCIAL")))</f>
        <v>TOTAL</v>
      </c>
    </row>
    <row r="38" spans="1:26" x14ac:dyDescent="0.25">
      <c r="A38" s="65">
        <v>31</v>
      </c>
      <c r="B38" s="98">
        <v>46175</v>
      </c>
      <c r="C38" s="99">
        <v>46175</v>
      </c>
      <c r="D38" s="65" t="s">
        <v>1089</v>
      </c>
      <c r="E38" s="100" t="s">
        <v>1090</v>
      </c>
      <c r="F38" s="128" t="s">
        <v>20</v>
      </c>
      <c r="G38" s="101" t="s">
        <v>129</v>
      </c>
      <c r="H38" s="101" t="str">
        <f>IFERROR(+VLOOKUP(G38,Tabla1[#All],2,FALSE),"-")</f>
        <v>NG SERVICIOS S.A.C.</v>
      </c>
      <c r="I38" s="93" t="s">
        <v>18</v>
      </c>
      <c r="J38" s="103" t="s">
        <v>128</v>
      </c>
      <c r="K38" s="100" t="s">
        <v>131</v>
      </c>
      <c r="L38" s="104" t="s">
        <v>130</v>
      </c>
      <c r="M38" s="65" t="s">
        <v>1275</v>
      </c>
      <c r="N38" s="130" t="str">
        <f>IF(Tabla3[[#This Row],[NRO. DOI]]="","",(IF(Tabla3[[#This Row],[MONEDA]]="Soles",(+VLOOKUP(G38,Tabla1[#All],3,FALSE)),(+VLOOKUP(G38,Tabla6[#All],3,FALSE)))))</f>
        <v>CONTINENTAL</v>
      </c>
      <c r="O38" s="65" t="str">
        <f>IF(Tabla3[[#This Row],[NRO. DOI]]="","",(IF(Tabla3[[#This Row],[MONEDA]]="Soles",(+VLOOKUP(G38,Tabla1[#All],4,FALSE)),(+VLOOKUP(G38,Tabla6[#All],4,FALSE)))))</f>
        <v>00110370000200340143</v>
      </c>
      <c r="P38" s="102" t="s">
        <v>22</v>
      </c>
      <c r="Q38" s="131"/>
      <c r="R38" s="67">
        <v>17430.310000000001</v>
      </c>
      <c r="S38" s="91">
        <f>+IF(Tabla3[[#This Row],[MONEDA]]="DOLARES",Tabla3[[#This Row],[MONTO BRUTO]]*Tabla3[[#This Row],[TIPO DE CAMBIO]],0)</f>
        <v>0</v>
      </c>
      <c r="T3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2092</v>
      </c>
      <c r="U38" s="91">
        <f>IF(Tabla3[[#This Row],[TIPO DE BIEN O SERVICIO]]="",0,+Tabla3[[#This Row],[MONTO BRUTO]]-Tabla3[[#This Row],[DETRACCION]])</f>
        <v>15338.310000000001</v>
      </c>
      <c r="V38" s="130" t="s">
        <v>24</v>
      </c>
      <c r="W38" s="98">
        <v>46204</v>
      </c>
      <c r="X38" s="97">
        <f>IF(Tabla3[[#This Row],[TIPO DE BIEN O SERVICIO]]="",0,+Tabla3[[#This Row],[MONTO BRUTO]]-Tabla3[[#This Row],[DETRACCION]])</f>
        <v>15338.310000000001</v>
      </c>
      <c r="Y38" s="97">
        <f>+Tabla3[[#This Row],[MONTO NETO A PAGAR]]-Tabla3[[#This Row],[MONTO PAGADO]]</f>
        <v>0</v>
      </c>
      <c r="Z38" s="97" t="str">
        <f>IF(Tabla3[[#This Row],[MONTO PAGADO]]=0,"",(+IF(Tabla3[[#This Row],[SALDO POR PAGAR]]=0,"TOTAL","PARCIAL")))</f>
        <v>TOTAL</v>
      </c>
    </row>
    <row r="39" spans="1:26" x14ac:dyDescent="0.25">
      <c r="A39" s="65">
        <v>32</v>
      </c>
      <c r="B39" s="98">
        <v>46184</v>
      </c>
      <c r="C39" s="99">
        <v>46182</v>
      </c>
      <c r="D39" s="65" t="s">
        <v>1089</v>
      </c>
      <c r="E39" s="100" t="s">
        <v>1090</v>
      </c>
      <c r="F39" s="128" t="s">
        <v>20</v>
      </c>
      <c r="G39" s="101" t="s">
        <v>133</v>
      </c>
      <c r="H39" s="101" t="str">
        <f>IFERROR(+VLOOKUP(G39,Tabla1[#All],2,FALSE),"-")</f>
        <v>TOTAL NETWORKS S.A</v>
      </c>
      <c r="I39" s="93" t="s">
        <v>18</v>
      </c>
      <c r="J39" s="103" t="s">
        <v>132</v>
      </c>
      <c r="K39" s="100" t="s">
        <v>135</v>
      </c>
      <c r="L39" s="104" t="s">
        <v>134</v>
      </c>
      <c r="M39" s="65" t="s">
        <v>1268</v>
      </c>
      <c r="N39" s="130" t="str">
        <f>IF(Tabla3[[#This Row],[NRO. DOI]]="","",(IF(Tabla3[[#This Row],[MONEDA]]="Soles",(+VLOOKUP(G39,Tabla1[#All],3,FALSE)),(+VLOOKUP(G39,Tabla6[#All],3,FALSE)))))</f>
        <v>CONTINENTAL</v>
      </c>
      <c r="O39" s="65" t="str">
        <f>IF(Tabla3[[#This Row],[NRO. DOI]]="","",(IF(Tabla3[[#This Row],[MONEDA]]="Soles",(+VLOOKUP(G39,Tabla1[#All],4,FALSE)),(+VLOOKUP(G39,Tabla6[#All],4,FALSE)))))</f>
        <v>00110354000100039600</v>
      </c>
      <c r="P39" s="102" t="s">
        <v>22</v>
      </c>
      <c r="Q39" s="131"/>
      <c r="R39" s="67">
        <v>441</v>
      </c>
      <c r="S39" s="91">
        <f>+IF(Tabla3[[#This Row],[MONEDA]]="DOLARES",Tabla3[[#This Row],[MONTO BRUTO]]*Tabla3[[#This Row],[TIPO DE CAMBIO]],0)</f>
        <v>0</v>
      </c>
      <c r="T3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39" s="91">
        <f>IF(Tabla3[[#This Row],[TIPO DE BIEN O SERVICIO]]="",0,+Tabla3[[#This Row],[MONTO BRUTO]]-Tabla3[[#This Row],[DETRACCION]])</f>
        <v>441</v>
      </c>
      <c r="V39" s="130" t="s">
        <v>24</v>
      </c>
      <c r="W39" s="98">
        <v>46204</v>
      </c>
      <c r="X39" s="97">
        <f>IF(Tabla3[[#This Row],[TIPO DE BIEN O SERVICIO]]="",0,+Tabla3[[#This Row],[MONTO BRUTO]]-Tabla3[[#This Row],[DETRACCION]])</f>
        <v>441</v>
      </c>
      <c r="Y39" s="97">
        <f>+Tabla3[[#This Row],[MONTO NETO A PAGAR]]-Tabla3[[#This Row],[MONTO PAGADO]]</f>
        <v>0</v>
      </c>
      <c r="Z39" s="97" t="str">
        <f>IF(Tabla3[[#This Row],[MONTO PAGADO]]=0,"",(+IF(Tabla3[[#This Row],[SALDO POR PAGAR]]=0,"TOTAL","PARCIAL")))</f>
        <v>TOTAL</v>
      </c>
    </row>
    <row r="40" spans="1:26" x14ac:dyDescent="0.25">
      <c r="A40" s="65">
        <v>33</v>
      </c>
      <c r="B40" s="98">
        <v>46184</v>
      </c>
      <c r="C40" s="99">
        <v>46181</v>
      </c>
      <c r="D40" s="65" t="s">
        <v>1089</v>
      </c>
      <c r="E40" s="100" t="s">
        <v>1090</v>
      </c>
      <c r="F40" s="129" t="s">
        <v>20</v>
      </c>
      <c r="G40" s="101" t="s">
        <v>105</v>
      </c>
      <c r="H40" s="101" t="str">
        <f>IFERROR(+VLOOKUP(G40,Tabla1[#All],2,FALSE),"-")</f>
        <v>WIN EMPRESAS SAC</v>
      </c>
      <c r="I40" s="93" t="s">
        <v>103</v>
      </c>
      <c r="J40" s="103" t="s">
        <v>136</v>
      </c>
      <c r="K40" s="100" t="s">
        <v>138</v>
      </c>
      <c r="L40" s="104" t="s">
        <v>137</v>
      </c>
      <c r="M40" s="65" t="s">
        <v>1268</v>
      </c>
      <c r="N40" s="130" t="str">
        <f>IF(Tabla3[[#This Row],[NRO. DOI]]="","",(IF(Tabla3[[#This Row],[MONEDA]]="Soles",(+VLOOKUP(G40,Tabla1[#All],3,FALSE)),(+VLOOKUP(G40,Tabla6[#All],3,FALSE)))))</f>
        <v>OTRO BANCO</v>
      </c>
      <c r="O40" s="65" t="str">
        <f>IF(Tabla3[[#This Row],[NRO. DOI]]="","",(IF(Tabla3[[#This Row],[MONEDA]]="Soles",(+VLOOKUP(G40,Tabla1[#All],4,FALSE)),(+VLOOKUP(G40,Tabla6[#All],4,FALSE)))))</f>
        <v>00219400212888508794</v>
      </c>
      <c r="P40" s="102" t="s">
        <v>22</v>
      </c>
      <c r="Q40" s="131"/>
      <c r="R40" s="67">
        <v>339.84</v>
      </c>
      <c r="S40" s="91">
        <f>+IF(Tabla3[[#This Row],[MONEDA]]="DOLARES",Tabla3[[#This Row],[MONTO BRUTO]]*Tabla3[[#This Row],[TIPO DE CAMBIO]],0)</f>
        <v>0</v>
      </c>
      <c r="T4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40" s="91">
        <f>IF(Tabla3[[#This Row],[TIPO DE BIEN O SERVICIO]]="",0,+Tabla3[[#This Row],[MONTO BRUTO]]-Tabla3[[#This Row],[DETRACCION]])</f>
        <v>339.84</v>
      </c>
      <c r="V40" s="130" t="s">
        <v>24</v>
      </c>
      <c r="W40" s="98">
        <v>46204</v>
      </c>
      <c r="X40" s="97">
        <f>IF(Tabla3[[#This Row],[TIPO DE BIEN O SERVICIO]]="",0,+Tabla3[[#This Row],[MONTO BRUTO]]-Tabla3[[#This Row],[DETRACCION]])</f>
        <v>339.84</v>
      </c>
      <c r="Y40" s="97">
        <f>+Tabla3[[#This Row],[MONTO NETO A PAGAR]]-Tabla3[[#This Row],[MONTO PAGADO]]</f>
        <v>0</v>
      </c>
      <c r="Z40" s="97" t="str">
        <f>IF(Tabla3[[#This Row],[MONTO PAGADO]]=0,"",(+IF(Tabla3[[#This Row],[SALDO POR PAGAR]]=0,"TOTAL","PARCIAL")))</f>
        <v>TOTAL</v>
      </c>
    </row>
    <row r="41" spans="1:26" x14ac:dyDescent="0.25">
      <c r="A41" s="65">
        <v>34</v>
      </c>
      <c r="B41" s="98">
        <v>46177</v>
      </c>
      <c r="C41" s="99">
        <v>46175</v>
      </c>
      <c r="D41" s="65" t="s">
        <v>1089</v>
      </c>
      <c r="E41" s="100" t="s">
        <v>1090</v>
      </c>
      <c r="F41" s="128" t="s">
        <v>20</v>
      </c>
      <c r="G41" s="101" t="s">
        <v>140</v>
      </c>
      <c r="H41" s="101" t="str">
        <f>IFERROR(+VLOOKUP(G41,Tabla1[#All],2,FALSE),"-")</f>
        <v>HEWLETT - PACKARD PERU S.R.L.</v>
      </c>
      <c r="I41" s="93" t="s">
        <v>18</v>
      </c>
      <c r="J41" s="103" t="s">
        <v>139</v>
      </c>
      <c r="K41" s="100" t="s">
        <v>142</v>
      </c>
      <c r="L41" s="104" t="s">
        <v>141</v>
      </c>
      <c r="M41" s="65" t="s">
        <v>1287</v>
      </c>
      <c r="N41" s="130" t="str">
        <f>IF(Tabla3[[#This Row],[NRO. DOI]]="","",(IF(Tabla3[[#This Row],[MONEDA]]="Soles",(+VLOOKUP(G41,Tabla1[#All],3,FALSE)),(+VLOOKUP(G41,Tabla6[#All],3,FALSE)))))</f>
        <v>OTRO BANCO</v>
      </c>
      <c r="O41" s="65" t="str">
        <f>IF(Tabla3[[#This Row],[NRO. DOI]]="","",(IF(Tabla3[[#This Row],[MONEDA]]="Soles",(+VLOOKUP(G41,Tabla1[#All],4,FALSE)),(+VLOOKUP(G41,Tabla6[#All],4,FALSE)))))</f>
        <v>00219300119689111611</v>
      </c>
      <c r="P41" s="102" t="s">
        <v>27</v>
      </c>
      <c r="Q41" s="132">
        <v>3.5</v>
      </c>
      <c r="R41" s="91">
        <v>1568.14</v>
      </c>
      <c r="S41" s="91">
        <f>+IF(Tabla3[[#This Row],[MONEDA]]="DOLARES",Tabla3[[#This Row],[MONTO BRUTO]]*Tabla3[[#This Row],[TIPO DE CAMBIO]],0)</f>
        <v>5488.4900000000007</v>
      </c>
      <c r="T4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157</v>
      </c>
      <c r="U41" s="91">
        <f>IF(Tabla3[[#This Row],[TIPO DE BIEN O SERVICIO]]="",0,+Tabla3[[#This Row],[MONTO BRUTO]]-Tabla3[[#This Row],[DETRACCION]])</f>
        <v>1411.14</v>
      </c>
      <c r="V41" s="130" t="s">
        <v>217</v>
      </c>
      <c r="W41" s="98">
        <v>46204</v>
      </c>
      <c r="X41" s="97">
        <f>IF(Tabla3[[#This Row],[TIPO DE BIEN O SERVICIO]]="",0,+Tabla3[[#This Row],[MONTO BRUTO]]-Tabla3[[#This Row],[DETRACCION]])</f>
        <v>1411.14</v>
      </c>
      <c r="Y41" s="97">
        <f>+Tabla3[[#This Row],[MONTO NETO A PAGAR]]-Tabla3[[#This Row],[MONTO PAGADO]]</f>
        <v>0</v>
      </c>
      <c r="Z41" s="97" t="str">
        <f>IF(Tabla3[[#This Row],[MONTO PAGADO]]=0,"",(+IF(Tabla3[[#This Row],[SALDO POR PAGAR]]=0,"TOTAL","PARCIAL")))</f>
        <v>TOTAL</v>
      </c>
    </row>
    <row r="42" spans="1:26" x14ac:dyDescent="0.25">
      <c r="A42" s="65">
        <v>35</v>
      </c>
      <c r="B42" s="98">
        <v>46174</v>
      </c>
      <c r="C42" s="99">
        <v>46174</v>
      </c>
      <c r="D42" s="65" t="s">
        <v>1089</v>
      </c>
      <c r="E42" s="100" t="s">
        <v>1090</v>
      </c>
      <c r="F42" s="128" t="s">
        <v>20</v>
      </c>
      <c r="G42" s="101" t="s">
        <v>144</v>
      </c>
      <c r="H42" s="101" t="str">
        <f>IFERROR(+VLOOKUP(G42,Tabla1[#All],2,FALSE),"-")</f>
        <v>VM PUBLICIDAD &amp; INVERSION E.I.R.L.</v>
      </c>
      <c r="I42" s="93" t="s">
        <v>18</v>
      </c>
      <c r="J42" s="103" t="s">
        <v>143</v>
      </c>
      <c r="K42" s="100" t="s">
        <v>146</v>
      </c>
      <c r="L42" s="104" t="s">
        <v>145</v>
      </c>
      <c r="M42" s="65" t="s">
        <v>1267</v>
      </c>
      <c r="N42" s="130" t="str">
        <f>IF(Tabla3[[#This Row],[NRO. DOI]]="","",(IF(Tabla3[[#This Row],[MONEDA]]="Soles",(+VLOOKUP(G42,Tabla1[#All],3,FALSE)),(+VLOOKUP(G42,Tabla6[#All],3,FALSE)))))</f>
        <v>OTRO BANCO</v>
      </c>
      <c r="O42" s="65" t="str">
        <f>IF(Tabla3[[#This Row],[NRO. DOI]]="","",(IF(Tabla3[[#This Row],[MONEDA]]="Soles",(+VLOOKUP(G42,Tabla1[#All],4,FALSE)),(+VLOOKUP(G42,Tabla6[#All],4,FALSE)))))</f>
        <v>00219100721335608054</v>
      </c>
      <c r="P42" s="102" t="s">
        <v>22</v>
      </c>
      <c r="Q42" s="131"/>
      <c r="R42" s="67">
        <v>27966</v>
      </c>
      <c r="S42" s="91">
        <f>+IF(Tabla3[[#This Row],[MONEDA]]="DOLARES",Tabla3[[#This Row],[MONTO BRUTO]]*Tabla3[[#This Row],[TIPO DE CAMBIO]],0)</f>
        <v>0</v>
      </c>
      <c r="T42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3356</v>
      </c>
      <c r="U42" s="91">
        <f>IF(Tabla3[[#This Row],[TIPO DE BIEN O SERVICIO]]="",0,+Tabla3[[#This Row],[MONTO BRUTO]]-Tabla3[[#This Row],[DETRACCION]])</f>
        <v>24610</v>
      </c>
      <c r="V42" s="130" t="s">
        <v>24</v>
      </c>
      <c r="W42" s="98">
        <v>46204</v>
      </c>
      <c r="X42" s="97">
        <f>IF(Tabla3[[#This Row],[TIPO DE BIEN O SERVICIO]]="",0,+Tabla3[[#This Row],[MONTO BRUTO]]-Tabla3[[#This Row],[DETRACCION]])</f>
        <v>24610</v>
      </c>
      <c r="Y42" s="97">
        <f>+Tabla3[[#This Row],[MONTO NETO A PAGAR]]-Tabla3[[#This Row],[MONTO PAGADO]]</f>
        <v>0</v>
      </c>
      <c r="Z42" s="97" t="str">
        <f>IF(Tabla3[[#This Row],[MONTO PAGADO]]=0,"",(+IF(Tabla3[[#This Row],[SALDO POR PAGAR]]=0,"TOTAL","PARCIAL")))</f>
        <v>TOTAL</v>
      </c>
    </row>
    <row r="43" spans="1:26" x14ac:dyDescent="0.25">
      <c r="A43" s="65">
        <v>36</v>
      </c>
      <c r="B43" s="98">
        <v>46174</v>
      </c>
      <c r="C43" s="99">
        <v>46174</v>
      </c>
      <c r="D43" s="65" t="s">
        <v>1089</v>
      </c>
      <c r="E43" s="100" t="s">
        <v>1090</v>
      </c>
      <c r="F43" s="128" t="s">
        <v>20</v>
      </c>
      <c r="G43" s="101" t="s">
        <v>148</v>
      </c>
      <c r="H43" s="101" t="str">
        <f>IFERROR(+VLOOKUP(G43,Tabla1[#All],2,FALSE),"-")</f>
        <v>NETVOICE SA.C.</v>
      </c>
      <c r="I43" s="93" t="s">
        <v>18</v>
      </c>
      <c r="J43" s="103" t="s">
        <v>147</v>
      </c>
      <c r="K43" s="100" t="s">
        <v>150</v>
      </c>
      <c r="L43" s="104" t="s">
        <v>149</v>
      </c>
      <c r="M43" s="65" t="s">
        <v>1268</v>
      </c>
      <c r="N43" s="130" t="str">
        <f>IF(Tabla3[[#This Row],[NRO. DOI]]="","",(IF(Tabla3[[#This Row],[MONEDA]]="Soles",(+VLOOKUP(G43,Tabla1[#All],3,FALSE)),(+VLOOKUP(G43,Tabla6[#All],3,FALSE)))))</f>
        <v>OTRO BANCO</v>
      </c>
      <c r="O43" s="65" t="str">
        <f>IF(Tabla3[[#This Row],[NRO. DOI]]="","",(IF(Tabla3[[#This Row],[MONEDA]]="Soles",(+VLOOKUP(G43,Tabla1[#All],4,FALSE)),(+VLOOKUP(G43,Tabla6[#All],4,FALSE)))))</f>
        <v>00219300262620401219</v>
      </c>
      <c r="P43" s="102" t="s">
        <v>22</v>
      </c>
      <c r="Q43" s="131"/>
      <c r="R43" s="67">
        <v>3240.11</v>
      </c>
      <c r="S43" s="91">
        <f>+IF(Tabla3[[#This Row],[MONEDA]]="DOLARES",Tabla3[[#This Row],[MONTO BRUTO]]*Tabla3[[#This Row],[TIPO DE CAMBIO]],0)</f>
        <v>0</v>
      </c>
      <c r="T43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389</v>
      </c>
      <c r="U43" s="91">
        <f>IF(Tabla3[[#This Row],[TIPO DE BIEN O SERVICIO]]="",0,+Tabla3[[#This Row],[MONTO BRUTO]]-Tabla3[[#This Row],[DETRACCION]])</f>
        <v>2851.11</v>
      </c>
      <c r="V43" s="130" t="s">
        <v>24</v>
      </c>
      <c r="W43" s="98">
        <v>46204</v>
      </c>
      <c r="X43" s="97">
        <f>IF(Tabla3[[#This Row],[TIPO DE BIEN O SERVICIO]]="",0,+Tabla3[[#This Row],[MONTO BRUTO]]-Tabla3[[#This Row],[DETRACCION]])</f>
        <v>2851.11</v>
      </c>
      <c r="Y43" s="97">
        <f>+Tabla3[[#This Row],[MONTO NETO A PAGAR]]-Tabla3[[#This Row],[MONTO PAGADO]]</f>
        <v>0</v>
      </c>
      <c r="Z43" s="97" t="str">
        <f>IF(Tabla3[[#This Row],[MONTO PAGADO]]=0,"",(+IF(Tabla3[[#This Row],[SALDO POR PAGAR]]=0,"TOTAL","PARCIAL")))</f>
        <v>TOTAL</v>
      </c>
    </row>
    <row r="44" spans="1:26" x14ac:dyDescent="0.25">
      <c r="A44" s="65">
        <v>37</v>
      </c>
      <c r="B44" s="98">
        <v>46199</v>
      </c>
      <c r="C44" s="99">
        <v>46199</v>
      </c>
      <c r="D44" s="65" t="s">
        <v>1089</v>
      </c>
      <c r="E44" s="100" t="s">
        <v>1090</v>
      </c>
      <c r="F44" s="128" t="s">
        <v>20</v>
      </c>
      <c r="G44" s="101" t="s">
        <v>152</v>
      </c>
      <c r="H44" s="101" t="str">
        <f>IFERROR(+VLOOKUP(G44,Tabla1[#All],2,FALSE),"-")</f>
        <v>OPTIMIZACX CONSULTORIA Y SERVICIOS S.A.C.</v>
      </c>
      <c r="I44" s="93" t="s">
        <v>18</v>
      </c>
      <c r="J44" s="103" t="s">
        <v>151</v>
      </c>
      <c r="K44" s="100" t="s">
        <v>154</v>
      </c>
      <c r="L44" s="107" t="s">
        <v>153</v>
      </c>
      <c r="M44" s="65" t="s">
        <v>1288</v>
      </c>
      <c r="N44" s="130" t="str">
        <f>IF(Tabla3[[#This Row],[NRO. DOI]]="","",(IF(Tabla3[[#This Row],[MONEDA]]="Soles",(+VLOOKUP(G44,Tabla1[#All],3,FALSE)),(+VLOOKUP(G44,Tabla6[#All],3,FALSE)))))</f>
        <v>OTRO BANCO</v>
      </c>
      <c r="O44" s="65" t="str">
        <f>IF(Tabla3[[#This Row],[NRO. DOI]]="","",(IF(Tabla3[[#This Row],[MONEDA]]="Soles",(+VLOOKUP(G44,Tabla1[#All],4,FALSE)),(+VLOOKUP(G44,Tabla6[#All],4,FALSE)))))</f>
        <v>00219400712804707394</v>
      </c>
      <c r="P44" s="102" t="s">
        <v>22</v>
      </c>
      <c r="Q44" s="131"/>
      <c r="R44" s="67">
        <v>41005.800000000003</v>
      </c>
      <c r="S44" s="91">
        <f>+IF(Tabla3[[#This Row],[MONEDA]]="DOLARES",Tabla3[[#This Row],[MONTO BRUTO]]*Tabla3[[#This Row],[TIPO DE CAMBIO]],0)</f>
        <v>0</v>
      </c>
      <c r="T4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4921</v>
      </c>
      <c r="U44" s="91">
        <f>IF(Tabla3[[#This Row],[TIPO DE BIEN O SERVICIO]]="",0,+Tabla3[[#This Row],[MONTO BRUTO]]-Tabla3[[#This Row],[DETRACCION]])</f>
        <v>36084.800000000003</v>
      </c>
      <c r="V44" s="130" t="s">
        <v>24</v>
      </c>
      <c r="W44" s="98">
        <v>46204</v>
      </c>
      <c r="X44" s="97">
        <f>IF(Tabla3[[#This Row],[TIPO DE BIEN O SERVICIO]]="",0,+Tabla3[[#This Row],[MONTO BRUTO]]-Tabla3[[#This Row],[DETRACCION]])</f>
        <v>36084.800000000003</v>
      </c>
      <c r="Y44" s="97">
        <f>+Tabla3[[#This Row],[MONTO NETO A PAGAR]]-Tabla3[[#This Row],[MONTO PAGADO]]</f>
        <v>0</v>
      </c>
      <c r="Z44" s="97" t="str">
        <f>IF(Tabla3[[#This Row],[MONTO PAGADO]]=0,"",(+IF(Tabla3[[#This Row],[SALDO POR PAGAR]]=0,"TOTAL","PARCIAL")))</f>
        <v>TOTAL</v>
      </c>
    </row>
    <row r="45" spans="1:26" x14ac:dyDescent="0.25">
      <c r="A45" s="65">
        <v>38</v>
      </c>
      <c r="B45" s="98">
        <v>46199</v>
      </c>
      <c r="C45" s="99">
        <v>46199</v>
      </c>
      <c r="D45" s="65" t="s">
        <v>1089</v>
      </c>
      <c r="E45" s="100" t="s">
        <v>1090</v>
      </c>
      <c r="F45" s="128" t="s">
        <v>46</v>
      </c>
      <c r="G45" s="101" t="s">
        <v>156</v>
      </c>
      <c r="H45" s="101" t="str">
        <f>IFERROR(+VLOOKUP(G45,Tabla1[#All],2,FALSE),"-")</f>
        <v>MORAN PAREDES GLADYS IVONNE</v>
      </c>
      <c r="I45" s="93" t="s">
        <v>103</v>
      </c>
      <c r="J45" s="103" t="s">
        <v>155</v>
      </c>
      <c r="L45" s="104" t="s">
        <v>157</v>
      </c>
      <c r="M45" s="65" t="s">
        <v>1268</v>
      </c>
      <c r="N45" s="130" t="str">
        <f>IF(Tabla3[[#This Row],[NRO. DOI]]="","",(IF(Tabla3[[#This Row],[MONEDA]]="Soles",(+VLOOKUP(G45,Tabla1[#All],3,FALSE)),(+VLOOKUP(G45,Tabla6[#All],3,FALSE)))))</f>
        <v>CONTINENTAL</v>
      </c>
      <c r="O45" s="65" t="str">
        <f>IF(Tabla3[[#This Row],[NRO. DOI]]="","",(IF(Tabla3[[#This Row],[MONEDA]]="Soles",(+VLOOKUP(G45,Tabla1[#All],4,FALSE)),(+VLOOKUP(G45,Tabla6[#All],4,FALSE)))))</f>
        <v>00110872000200007559</v>
      </c>
      <c r="P45" s="102" t="s">
        <v>27</v>
      </c>
      <c r="Q45" s="132">
        <v>3.5</v>
      </c>
      <c r="R45" s="91">
        <v>11250</v>
      </c>
      <c r="S45" s="91">
        <f>+IF(Tabla3[[#This Row],[MONEDA]]="DOLARES",Tabla3[[#This Row],[MONTO BRUTO]]*Tabla3[[#This Row],[TIPO DE CAMBIO]],0)</f>
        <v>39375</v>
      </c>
      <c r="T4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1350</v>
      </c>
      <c r="U45" s="91">
        <f>IF(Tabla3[[#This Row],[TIPO DE BIEN O SERVICIO]]="",0,+Tabla3[[#This Row],[MONTO BRUTO]]-Tabla3[[#This Row],[DETRACCION]])</f>
        <v>9900</v>
      </c>
      <c r="V45" s="130" t="s">
        <v>217</v>
      </c>
      <c r="W45" s="98">
        <v>46204</v>
      </c>
      <c r="X45" s="97">
        <f>IF(Tabla3[[#This Row],[TIPO DE BIEN O SERVICIO]]="",0,+Tabla3[[#This Row],[MONTO BRUTO]]-Tabla3[[#This Row],[DETRACCION]])</f>
        <v>9900</v>
      </c>
      <c r="Y45" s="97">
        <f>+Tabla3[[#This Row],[MONTO NETO A PAGAR]]-Tabla3[[#This Row],[MONTO PAGADO]]</f>
        <v>0</v>
      </c>
      <c r="Z45" s="97" t="str">
        <f>IF(Tabla3[[#This Row],[MONTO PAGADO]]=0,"",(+IF(Tabla3[[#This Row],[SALDO POR PAGAR]]=0,"TOTAL","PARCIAL")))</f>
        <v>TOTAL</v>
      </c>
    </row>
    <row r="46" spans="1:26" x14ac:dyDescent="0.25">
      <c r="A46" s="65">
        <v>39</v>
      </c>
      <c r="B46" s="98">
        <v>46199</v>
      </c>
      <c r="C46" s="99">
        <v>46199</v>
      </c>
      <c r="D46" s="65" t="s">
        <v>1089</v>
      </c>
      <c r="E46" s="100" t="s">
        <v>1090</v>
      </c>
      <c r="F46" s="128" t="s">
        <v>46</v>
      </c>
      <c r="G46" s="101" t="s">
        <v>156</v>
      </c>
      <c r="H46" s="101" t="str">
        <f>IFERROR(+VLOOKUP(G46,Tabla1[#All],2,FALSE),"-")</f>
        <v>MORAN PAREDES GLADYS IVONNE</v>
      </c>
      <c r="I46" s="93" t="s">
        <v>103</v>
      </c>
      <c r="J46" s="103" t="s">
        <v>158</v>
      </c>
      <c r="L46" s="104" t="s">
        <v>159</v>
      </c>
      <c r="M46" s="65" t="s">
        <v>1268</v>
      </c>
      <c r="N46" s="130" t="str">
        <f>IF(Tabla3[[#This Row],[NRO. DOI]]="","",(IF(Tabla3[[#This Row],[MONEDA]]="Soles",(+VLOOKUP(G46,Tabla1[#All],3,FALSE)),(+VLOOKUP(G46,Tabla6[#All],3,FALSE)))))</f>
        <v>CONTINENTAL</v>
      </c>
      <c r="O46" s="65" t="str">
        <f>IF(Tabla3[[#This Row],[NRO. DOI]]="","",(IF(Tabla3[[#This Row],[MONEDA]]="Soles",(+VLOOKUP(G46,Tabla1[#All],4,FALSE)),(+VLOOKUP(G46,Tabla6[#All],4,FALSE)))))</f>
        <v>00110872000200007559</v>
      </c>
      <c r="P46" s="102" t="s">
        <v>27</v>
      </c>
      <c r="Q46" s="132">
        <v>3.5</v>
      </c>
      <c r="R46" s="91">
        <v>4152.3599999999997</v>
      </c>
      <c r="S46" s="91">
        <f>+IF(Tabla3[[#This Row],[MONEDA]]="DOLARES",Tabla3[[#This Row],[MONTO BRUTO]]*Tabla3[[#This Row],[TIPO DE CAMBIO]],0)</f>
        <v>14533.259999999998</v>
      </c>
      <c r="T46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498</v>
      </c>
      <c r="U46" s="91">
        <f>IF(Tabla3[[#This Row],[TIPO DE BIEN O SERVICIO]]="",0,+Tabla3[[#This Row],[MONTO BRUTO]]-Tabla3[[#This Row],[DETRACCION]])</f>
        <v>3654.3599999999997</v>
      </c>
      <c r="V46" s="130" t="s">
        <v>217</v>
      </c>
      <c r="W46" s="98">
        <v>46204</v>
      </c>
      <c r="X46" s="97">
        <f>IF(Tabla3[[#This Row],[TIPO DE BIEN O SERVICIO]]="",0,+Tabla3[[#This Row],[MONTO BRUTO]]-Tabla3[[#This Row],[DETRACCION]])</f>
        <v>3654.3599999999997</v>
      </c>
      <c r="Y46" s="97">
        <f>+Tabla3[[#This Row],[MONTO NETO A PAGAR]]-Tabla3[[#This Row],[MONTO PAGADO]]</f>
        <v>0</v>
      </c>
      <c r="Z46" s="97" t="str">
        <f>IF(Tabla3[[#This Row],[MONTO PAGADO]]=0,"",(+IF(Tabla3[[#This Row],[SALDO POR PAGAR]]=0,"TOTAL","PARCIAL")))</f>
        <v>TOTAL</v>
      </c>
    </row>
    <row r="47" spans="1:26" x14ac:dyDescent="0.25">
      <c r="A47" s="65">
        <v>40</v>
      </c>
      <c r="B47" s="98">
        <v>46199</v>
      </c>
      <c r="C47" s="99">
        <v>46199</v>
      </c>
      <c r="D47" s="65" t="s">
        <v>1089</v>
      </c>
      <c r="E47" s="100" t="s">
        <v>1090</v>
      </c>
      <c r="F47" s="128" t="s">
        <v>46</v>
      </c>
      <c r="G47" s="101" t="s">
        <v>161</v>
      </c>
      <c r="H47" s="101" t="str">
        <f>IFERROR(+VLOOKUP(G47,Tabla1[#All],2,FALSE),"-")</f>
        <v>MORAN MARQUEZ GREGORIO OSWALDO</v>
      </c>
      <c r="I47" s="93" t="s">
        <v>103</v>
      </c>
      <c r="J47" s="103" t="s">
        <v>160</v>
      </c>
      <c r="L47" s="104" t="s">
        <v>162</v>
      </c>
      <c r="M47" s="65" t="s">
        <v>1268</v>
      </c>
      <c r="N47" s="130" t="str">
        <f>IF(Tabla3[[#This Row],[NRO. DOI]]="","",(IF(Tabla3[[#This Row],[MONEDA]]="Soles",(+VLOOKUP(G47,Tabla1[#All],3,FALSE)),(+VLOOKUP(G47,Tabla6[#All],3,FALSE)))))</f>
        <v>CONTINENTAL</v>
      </c>
      <c r="O47" s="65" t="str">
        <f>IF(Tabla3[[#This Row],[NRO. DOI]]="","",(IF(Tabla3[[#This Row],[MONEDA]]="Soles",(+VLOOKUP(G47,Tabla1[#All],4,FALSE)),(+VLOOKUP(G47,Tabla6[#All],4,FALSE)))))</f>
        <v>00110360000200224009</v>
      </c>
      <c r="P47" s="102" t="s">
        <v>27</v>
      </c>
      <c r="Q47" s="132">
        <v>3.5</v>
      </c>
      <c r="R47" s="91">
        <v>4031.42</v>
      </c>
      <c r="S47" s="91">
        <f>+IF(Tabla3[[#This Row],[MONEDA]]="DOLARES",Tabla3[[#This Row],[MONTO BRUTO]]*Tabla3[[#This Row],[TIPO DE CAMBIO]],0)</f>
        <v>14109.970000000001</v>
      </c>
      <c r="T47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484</v>
      </c>
      <c r="U47" s="91">
        <f>IF(Tabla3[[#This Row],[TIPO DE BIEN O SERVICIO]]="",0,+Tabla3[[#This Row],[MONTO BRUTO]]-Tabla3[[#This Row],[DETRACCION]])</f>
        <v>3547.42</v>
      </c>
      <c r="V47" s="130" t="s">
        <v>217</v>
      </c>
      <c r="W47" s="98">
        <v>46204</v>
      </c>
      <c r="X47" s="97">
        <f>IF(Tabla3[[#This Row],[TIPO DE BIEN O SERVICIO]]="",0,+Tabla3[[#This Row],[MONTO BRUTO]]-Tabla3[[#This Row],[DETRACCION]])</f>
        <v>3547.42</v>
      </c>
      <c r="Y47" s="97">
        <f>+Tabla3[[#This Row],[MONTO NETO A PAGAR]]-Tabla3[[#This Row],[MONTO PAGADO]]</f>
        <v>0</v>
      </c>
      <c r="Z47" s="97" t="str">
        <f>IF(Tabla3[[#This Row],[MONTO PAGADO]]=0,"",(+IF(Tabla3[[#This Row],[SALDO POR PAGAR]]=0,"TOTAL","PARCIAL")))</f>
        <v>TOTAL</v>
      </c>
    </row>
    <row r="48" spans="1:26" x14ac:dyDescent="0.25">
      <c r="A48" s="65">
        <v>41</v>
      </c>
      <c r="B48" s="98">
        <v>46199</v>
      </c>
      <c r="C48" s="99">
        <v>46199</v>
      </c>
      <c r="D48" s="65" t="s">
        <v>1089</v>
      </c>
      <c r="E48" s="100" t="s">
        <v>1090</v>
      </c>
      <c r="F48" s="128" t="s">
        <v>46</v>
      </c>
      <c r="G48" s="101" t="s">
        <v>156</v>
      </c>
      <c r="H48" s="101" t="str">
        <f>IFERROR(+VLOOKUP(G48,Tabla1[#All],2,FALSE),"-")</f>
        <v>MORAN PAREDES GLADYS IVONNE</v>
      </c>
      <c r="I48" s="93" t="s">
        <v>103</v>
      </c>
      <c r="J48" s="103" t="s">
        <v>163</v>
      </c>
      <c r="L48" s="104" t="s">
        <v>164</v>
      </c>
      <c r="M48" s="65" t="s">
        <v>1268</v>
      </c>
      <c r="N48" s="130" t="str">
        <f>IF(Tabla3[[#This Row],[NRO. DOI]]="","",(IF(Tabla3[[#This Row],[MONEDA]]="Soles",(+VLOOKUP(G48,Tabla1[#All],3,FALSE)),(+VLOOKUP(G48,Tabla6[#All],3,FALSE)))))</f>
        <v>CONTINENTAL</v>
      </c>
      <c r="O48" s="65" t="str">
        <f>IF(Tabla3[[#This Row],[NRO. DOI]]="","",(IF(Tabla3[[#This Row],[MONEDA]]="Soles",(+VLOOKUP(G48,Tabla1[#All],4,FALSE)),(+VLOOKUP(G48,Tabla6[#All],4,FALSE)))))</f>
        <v>00110872000200007559</v>
      </c>
      <c r="P48" s="102" t="s">
        <v>27</v>
      </c>
      <c r="Q48" s="132">
        <v>3.5</v>
      </c>
      <c r="R48" s="91">
        <v>4031.42</v>
      </c>
      <c r="S48" s="91">
        <f>+IF(Tabla3[[#This Row],[MONEDA]]="DOLARES",Tabla3[[#This Row],[MONTO BRUTO]]*Tabla3[[#This Row],[TIPO DE CAMBIO]],0)</f>
        <v>14109.970000000001</v>
      </c>
      <c r="T4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484</v>
      </c>
      <c r="U48" s="91">
        <f>IF(Tabla3[[#This Row],[TIPO DE BIEN O SERVICIO]]="",0,+Tabla3[[#This Row],[MONTO BRUTO]]-Tabla3[[#This Row],[DETRACCION]])</f>
        <v>3547.42</v>
      </c>
      <c r="V48" s="130" t="s">
        <v>217</v>
      </c>
      <c r="W48" s="98">
        <v>46204</v>
      </c>
      <c r="X48" s="97">
        <f>IF(Tabla3[[#This Row],[TIPO DE BIEN O SERVICIO]]="",0,+Tabla3[[#This Row],[MONTO BRUTO]]-Tabla3[[#This Row],[DETRACCION]])</f>
        <v>3547.42</v>
      </c>
      <c r="Y48" s="97">
        <f>+Tabla3[[#This Row],[MONTO NETO A PAGAR]]-Tabla3[[#This Row],[MONTO PAGADO]]</f>
        <v>0</v>
      </c>
      <c r="Z48" s="97" t="str">
        <f>IF(Tabla3[[#This Row],[MONTO PAGADO]]=0,"",(+IF(Tabla3[[#This Row],[SALDO POR PAGAR]]=0,"TOTAL","PARCIAL")))</f>
        <v>TOTAL</v>
      </c>
    </row>
    <row r="49" spans="1:26" x14ac:dyDescent="0.25">
      <c r="A49" s="65">
        <v>42</v>
      </c>
      <c r="B49" s="98">
        <v>46199</v>
      </c>
      <c r="C49" s="99">
        <v>46199</v>
      </c>
      <c r="D49" s="65" t="s">
        <v>1089</v>
      </c>
      <c r="E49" s="100" t="s">
        <v>1090</v>
      </c>
      <c r="F49" s="128" t="s">
        <v>46</v>
      </c>
      <c r="G49" s="101" t="s">
        <v>156</v>
      </c>
      <c r="H49" s="101" t="str">
        <f>IFERROR(+VLOOKUP(G49,Tabla1[#All],2,FALSE),"-")</f>
        <v>MORAN PAREDES GLADYS IVONNE</v>
      </c>
      <c r="I49" s="93" t="s">
        <v>103</v>
      </c>
      <c r="J49" s="103" t="s">
        <v>165</v>
      </c>
      <c r="L49" s="104" t="s">
        <v>166</v>
      </c>
      <c r="M49" s="65" t="s">
        <v>1268</v>
      </c>
      <c r="N49" s="130" t="str">
        <f>IF(Tabla3[[#This Row],[NRO. DOI]]="","",(IF(Tabla3[[#This Row],[MONEDA]]="Soles",(+VLOOKUP(G49,Tabla1[#All],3,FALSE)),(+VLOOKUP(G49,Tabla6[#All],3,FALSE)))))</f>
        <v>CONTINENTAL</v>
      </c>
      <c r="O49" s="65" t="str">
        <f>IF(Tabla3[[#This Row],[NRO. DOI]]="","",(IF(Tabla3[[#This Row],[MONEDA]]="Soles",(+VLOOKUP(G49,Tabla1[#All],4,FALSE)),(+VLOOKUP(G49,Tabla6[#All],4,FALSE)))))</f>
        <v>00110872000200007559</v>
      </c>
      <c r="P49" s="102" t="s">
        <v>27</v>
      </c>
      <c r="Q49" s="132">
        <v>3.5</v>
      </c>
      <c r="R49" s="91">
        <v>4152.3599999999997</v>
      </c>
      <c r="S49" s="91">
        <f>+IF(Tabla3[[#This Row],[MONEDA]]="DOLARES",Tabla3[[#This Row],[MONTO BRUTO]]*Tabla3[[#This Row],[TIPO DE CAMBIO]],0)</f>
        <v>14533.259999999998</v>
      </c>
      <c r="T4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498</v>
      </c>
      <c r="U49" s="91">
        <f>IF(Tabla3[[#This Row],[TIPO DE BIEN O SERVICIO]]="",0,+Tabla3[[#This Row],[MONTO BRUTO]]-Tabla3[[#This Row],[DETRACCION]])</f>
        <v>3654.3599999999997</v>
      </c>
      <c r="V49" s="130" t="s">
        <v>24</v>
      </c>
      <c r="W49" s="98">
        <v>46204</v>
      </c>
      <c r="X49" s="97">
        <f>IF(Tabla3[[#This Row],[TIPO DE BIEN O SERVICIO]]="",0,+Tabla3[[#This Row],[MONTO BRUTO]]-Tabla3[[#This Row],[DETRACCION]])</f>
        <v>3654.3599999999997</v>
      </c>
      <c r="Y49" s="97">
        <f>+Tabla3[[#This Row],[MONTO NETO A PAGAR]]-Tabla3[[#This Row],[MONTO PAGADO]]</f>
        <v>0</v>
      </c>
      <c r="Z49" s="97" t="str">
        <f>IF(Tabla3[[#This Row],[MONTO PAGADO]]=0,"",(+IF(Tabla3[[#This Row],[SALDO POR PAGAR]]=0,"TOTAL","PARCIAL")))</f>
        <v>TOTAL</v>
      </c>
    </row>
    <row r="50" spans="1:26" x14ac:dyDescent="0.25">
      <c r="A50" s="65">
        <v>43</v>
      </c>
      <c r="B50" s="98">
        <v>46199</v>
      </c>
      <c r="C50" s="99">
        <v>46199</v>
      </c>
      <c r="D50" s="65" t="s">
        <v>1089</v>
      </c>
      <c r="E50" s="100" t="s">
        <v>1090</v>
      </c>
      <c r="F50" s="128" t="s">
        <v>46</v>
      </c>
      <c r="G50" s="101" t="s">
        <v>156</v>
      </c>
      <c r="H50" s="101" t="str">
        <f>IFERROR(+VLOOKUP(G50,Tabla1[#All],2,FALSE),"-")</f>
        <v>MORAN PAREDES GLADYS IVONNE</v>
      </c>
      <c r="I50" s="93" t="s">
        <v>103</v>
      </c>
      <c r="J50" s="103" t="s">
        <v>167</v>
      </c>
      <c r="L50" s="104" t="s">
        <v>168</v>
      </c>
      <c r="M50" s="65" t="s">
        <v>1268</v>
      </c>
      <c r="N50" s="130" t="str">
        <f>IF(Tabla3[[#This Row],[NRO. DOI]]="","",(IF(Tabla3[[#This Row],[MONEDA]]="Soles",(+VLOOKUP(G50,Tabla1[#All],3,FALSE)),(+VLOOKUP(G50,Tabla6[#All],3,FALSE)))))</f>
        <v>CONTINENTAL</v>
      </c>
      <c r="O50" s="65" t="str">
        <f>IF(Tabla3[[#This Row],[NRO. DOI]]="","",(IF(Tabla3[[#This Row],[MONEDA]]="Soles",(+VLOOKUP(G50,Tabla1[#All],4,FALSE)),(+VLOOKUP(G50,Tabla6[#All],4,FALSE)))))</f>
        <v>00110872000200007559</v>
      </c>
      <c r="P50" s="102" t="s">
        <v>27</v>
      </c>
      <c r="Q50" s="132">
        <v>3.5</v>
      </c>
      <c r="R50" s="91">
        <v>7000</v>
      </c>
      <c r="S50" s="91">
        <f>+IF(Tabla3[[#This Row],[MONEDA]]="DOLARES",Tabla3[[#This Row],[MONTO BRUTO]]*Tabla3[[#This Row],[TIPO DE CAMBIO]],0)</f>
        <v>24500</v>
      </c>
      <c r="T5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840</v>
      </c>
      <c r="U50" s="91">
        <f>IF(Tabla3[[#This Row],[TIPO DE BIEN O SERVICIO]]="",0,+Tabla3[[#This Row],[MONTO BRUTO]]-Tabla3[[#This Row],[DETRACCION]])</f>
        <v>6160</v>
      </c>
      <c r="V50" s="130" t="s">
        <v>24</v>
      </c>
      <c r="W50" s="98">
        <v>46204</v>
      </c>
      <c r="X50" s="97">
        <f>IF(Tabla3[[#This Row],[TIPO DE BIEN O SERVICIO]]="",0,+Tabla3[[#This Row],[MONTO BRUTO]]-Tabla3[[#This Row],[DETRACCION]])</f>
        <v>6160</v>
      </c>
      <c r="Y50" s="97">
        <f>+Tabla3[[#This Row],[MONTO NETO A PAGAR]]-Tabla3[[#This Row],[MONTO PAGADO]]</f>
        <v>0</v>
      </c>
      <c r="Z50" s="97" t="str">
        <f>IF(Tabla3[[#This Row],[MONTO PAGADO]]=0,"",(+IF(Tabla3[[#This Row],[SALDO POR PAGAR]]=0,"TOTAL","PARCIAL")))</f>
        <v>TOTAL</v>
      </c>
    </row>
    <row r="51" spans="1:26" x14ac:dyDescent="0.25">
      <c r="A51" s="65">
        <v>44</v>
      </c>
      <c r="B51" s="98">
        <v>46199</v>
      </c>
      <c r="C51" s="99">
        <v>46199</v>
      </c>
      <c r="D51" s="65" t="s">
        <v>1089</v>
      </c>
      <c r="E51" s="100" t="s">
        <v>1090</v>
      </c>
      <c r="F51" s="128" t="s">
        <v>46</v>
      </c>
      <c r="G51" s="101" t="s">
        <v>161</v>
      </c>
      <c r="H51" s="101" t="str">
        <f>IFERROR(+VLOOKUP(G51,Tabla1[#All],2,FALSE),"-")</f>
        <v>MORAN MARQUEZ GREGORIO OSWALDO</v>
      </c>
      <c r="I51" s="93" t="s">
        <v>103</v>
      </c>
      <c r="J51" s="103" t="s">
        <v>169</v>
      </c>
      <c r="L51" s="104" t="s">
        <v>170</v>
      </c>
      <c r="M51" s="65" t="s">
        <v>1268</v>
      </c>
      <c r="N51" s="130" t="str">
        <f>IF(Tabla3[[#This Row],[NRO. DOI]]="","",(IF(Tabla3[[#This Row],[MONEDA]]="Soles",(+VLOOKUP(G51,Tabla1[#All],3,FALSE)),(+VLOOKUP(G51,Tabla6[#All],3,FALSE)))))</f>
        <v>CONTINENTAL</v>
      </c>
      <c r="O51" s="65" t="str">
        <f>IF(Tabla3[[#This Row],[NRO. DOI]]="","",(IF(Tabla3[[#This Row],[MONEDA]]="Soles",(+VLOOKUP(G51,Tabla1[#All],4,FALSE)),(+VLOOKUP(G51,Tabla6[#All],4,FALSE)))))</f>
        <v>00110360000200224009</v>
      </c>
      <c r="P51" s="102" t="s">
        <v>27</v>
      </c>
      <c r="Q51" s="132">
        <v>3.5</v>
      </c>
      <c r="R51" s="91">
        <v>7000</v>
      </c>
      <c r="S51" s="91">
        <f>+IF(Tabla3[[#This Row],[MONEDA]]="DOLARES",Tabla3[[#This Row],[MONTO BRUTO]]*Tabla3[[#This Row],[TIPO DE CAMBIO]],0)</f>
        <v>24500</v>
      </c>
      <c r="T5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840</v>
      </c>
      <c r="U51" s="91">
        <f>IF(Tabla3[[#This Row],[TIPO DE BIEN O SERVICIO]]="",0,+Tabla3[[#This Row],[MONTO BRUTO]]-Tabla3[[#This Row],[DETRACCION]])</f>
        <v>6160</v>
      </c>
      <c r="V51" s="130" t="s">
        <v>24</v>
      </c>
      <c r="W51" s="98">
        <v>46204</v>
      </c>
      <c r="X51" s="97">
        <f>IF(Tabla3[[#This Row],[TIPO DE BIEN O SERVICIO]]="",0,+Tabla3[[#This Row],[MONTO BRUTO]]-Tabla3[[#This Row],[DETRACCION]])</f>
        <v>6160</v>
      </c>
      <c r="Y51" s="97">
        <f>+Tabla3[[#This Row],[MONTO NETO A PAGAR]]-Tabla3[[#This Row],[MONTO PAGADO]]</f>
        <v>0</v>
      </c>
      <c r="Z51" s="97" t="str">
        <f>IF(Tabla3[[#This Row],[MONTO PAGADO]]=0,"",(+IF(Tabla3[[#This Row],[SALDO POR PAGAR]]=0,"TOTAL","PARCIAL")))</f>
        <v>TOTAL</v>
      </c>
    </row>
    <row r="52" spans="1:26" x14ac:dyDescent="0.25">
      <c r="A52" s="65">
        <v>45</v>
      </c>
      <c r="B52" s="98">
        <v>46199</v>
      </c>
      <c r="C52" s="99">
        <v>46199</v>
      </c>
      <c r="D52" s="65" t="s">
        <v>1089</v>
      </c>
      <c r="E52" s="100" t="s">
        <v>1090</v>
      </c>
      <c r="F52" s="128" t="s">
        <v>46</v>
      </c>
      <c r="G52" s="101" t="s">
        <v>156</v>
      </c>
      <c r="H52" s="101" t="str">
        <f>IFERROR(+VLOOKUP(G52,Tabla1[#All],2,FALSE),"-")</f>
        <v>MORAN PAREDES GLADYS IVONNE</v>
      </c>
      <c r="I52" s="93" t="s">
        <v>103</v>
      </c>
      <c r="J52" s="103" t="s">
        <v>171</v>
      </c>
      <c r="L52" s="104" t="s">
        <v>172</v>
      </c>
      <c r="M52" s="65" t="s">
        <v>1268</v>
      </c>
      <c r="N52" s="130" t="str">
        <f>IF(Tabla3[[#This Row],[NRO. DOI]]="","",(IF(Tabla3[[#This Row],[MONEDA]]="Soles",(+VLOOKUP(G52,Tabla1[#All],3,FALSE)),(+VLOOKUP(G52,Tabla6[#All],3,FALSE)))))</f>
        <v>CONTINENTAL</v>
      </c>
      <c r="O52" s="65" t="str">
        <f>IF(Tabla3[[#This Row],[NRO. DOI]]="","",(IF(Tabla3[[#This Row],[MONEDA]]="Soles",(+VLOOKUP(G52,Tabla1[#All],4,FALSE)),(+VLOOKUP(G52,Tabla6[#All],4,FALSE)))))</f>
        <v>00110872000200007559</v>
      </c>
      <c r="P52" s="102" t="s">
        <v>27</v>
      </c>
      <c r="Q52" s="132">
        <v>3.5</v>
      </c>
      <c r="R52" s="91">
        <v>1100</v>
      </c>
      <c r="S52" s="91">
        <f>+IF(Tabla3[[#This Row],[MONEDA]]="DOLARES",Tabla3[[#This Row],[MONTO BRUTO]]*Tabla3[[#This Row],[TIPO DE CAMBIO]],0)</f>
        <v>3850</v>
      </c>
      <c r="T52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132</v>
      </c>
      <c r="U52" s="91">
        <f>IF(Tabla3[[#This Row],[TIPO DE BIEN O SERVICIO]]="",0,+Tabla3[[#This Row],[MONTO BRUTO]]-Tabla3[[#This Row],[DETRACCION]])</f>
        <v>968</v>
      </c>
      <c r="V52" s="130" t="s">
        <v>24</v>
      </c>
      <c r="W52" s="98">
        <v>46204</v>
      </c>
      <c r="X52" s="97">
        <f>IF(Tabla3[[#This Row],[TIPO DE BIEN O SERVICIO]]="",0,+Tabla3[[#This Row],[MONTO BRUTO]]-Tabla3[[#This Row],[DETRACCION]])</f>
        <v>968</v>
      </c>
      <c r="Y52" s="97">
        <f>+Tabla3[[#This Row],[MONTO NETO A PAGAR]]-Tabla3[[#This Row],[MONTO PAGADO]]</f>
        <v>0</v>
      </c>
      <c r="Z52" s="97" t="str">
        <f>IF(Tabla3[[#This Row],[MONTO PAGADO]]=0,"",(+IF(Tabla3[[#This Row],[SALDO POR PAGAR]]=0,"TOTAL","PARCIAL")))</f>
        <v>TOTAL</v>
      </c>
    </row>
    <row r="53" spans="1:26" x14ac:dyDescent="0.25">
      <c r="A53" s="65">
        <v>46</v>
      </c>
      <c r="B53" s="98">
        <v>46199</v>
      </c>
      <c r="C53" s="99">
        <v>46188</v>
      </c>
      <c r="D53" s="65" t="s">
        <v>1089</v>
      </c>
      <c r="E53" s="100" t="s">
        <v>1090</v>
      </c>
      <c r="F53" s="128" t="s">
        <v>20</v>
      </c>
      <c r="G53" s="101" t="s">
        <v>174</v>
      </c>
      <c r="H53" s="101" t="str">
        <f>IFERROR(+VLOOKUP(G53,Tabla1[#All],2,FALSE),"-")</f>
        <v>SERVICIOS MULTIMEDIA S.A.C</v>
      </c>
      <c r="I53" s="93" t="s">
        <v>18</v>
      </c>
      <c r="J53" s="103" t="s">
        <v>173</v>
      </c>
      <c r="K53" s="106" t="s">
        <v>1250</v>
      </c>
      <c r="L53" s="104" t="s">
        <v>1218</v>
      </c>
      <c r="M53" s="65" t="s">
        <v>1266</v>
      </c>
      <c r="N53" s="130" t="str">
        <f>IF(Tabla3[[#This Row],[NRO. DOI]]="","",(IF(Tabla3[[#This Row],[MONEDA]]="Soles",(+VLOOKUP(G53,Tabla1[#All],3,FALSE)),(+VLOOKUP(G53,Tabla6[#All],3,FALSE)))))</f>
        <v>CONTINENTAL</v>
      </c>
      <c r="O53" s="65" t="str">
        <f>IF(Tabla3[[#This Row],[NRO. DOI]]="","",(IF(Tabla3[[#This Row],[MONEDA]]="Soles",(+VLOOKUP(G53,Tabla1[#All],4,FALSE)),(+VLOOKUP(G53,Tabla6[#All],4,FALSE)))))</f>
        <v>00110686000100025818</v>
      </c>
      <c r="P53" s="102" t="s">
        <v>22</v>
      </c>
      <c r="Q53" s="131"/>
      <c r="R53" s="67">
        <v>20425.919999999998</v>
      </c>
      <c r="S53" s="91">
        <f>+IF(Tabla3[[#This Row],[MONEDA]]="DOLARES",Tabla3[[#This Row],[MONTO BRUTO]]*Tabla3[[#This Row],[TIPO DE CAMBIO]],0)</f>
        <v>0</v>
      </c>
      <c r="T53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2451</v>
      </c>
      <c r="U53" s="91">
        <f>IF(Tabla3[[#This Row],[TIPO DE BIEN O SERVICIO]]="",0,+Tabla3[[#This Row],[MONTO BRUTO]]-Tabla3[[#This Row],[DETRACCION]])</f>
        <v>17974.919999999998</v>
      </c>
      <c r="V53" s="130" t="s">
        <v>24</v>
      </c>
      <c r="W53" s="98">
        <v>46204</v>
      </c>
      <c r="X53" s="97">
        <f>IF(Tabla3[[#This Row],[TIPO DE BIEN O SERVICIO]]="",0,+Tabla3[[#This Row],[MONTO BRUTO]]-Tabla3[[#This Row],[DETRACCION]])</f>
        <v>17974.919999999998</v>
      </c>
      <c r="Y53" s="97">
        <f>+Tabla3[[#This Row],[MONTO NETO A PAGAR]]-Tabla3[[#This Row],[MONTO PAGADO]]</f>
        <v>0</v>
      </c>
      <c r="Z53" s="97" t="str">
        <f>IF(Tabla3[[#This Row],[MONTO PAGADO]]=0,"",(+IF(Tabla3[[#This Row],[SALDO POR PAGAR]]=0,"TOTAL","PARCIAL")))</f>
        <v>TOTAL</v>
      </c>
    </row>
    <row r="54" spans="1:26" x14ac:dyDescent="0.25">
      <c r="A54" s="65">
        <v>47</v>
      </c>
      <c r="B54" s="98">
        <v>46199</v>
      </c>
      <c r="C54" s="99">
        <v>46199</v>
      </c>
      <c r="D54" s="65" t="s">
        <v>1089</v>
      </c>
      <c r="E54" s="100" t="s">
        <v>1090</v>
      </c>
      <c r="F54" s="128" t="s">
        <v>46</v>
      </c>
      <c r="G54" s="101" t="s">
        <v>177</v>
      </c>
      <c r="H54" s="101" t="str">
        <f>IFERROR(+VLOOKUP(G54,Tabla1[#All],2,FALSE),"-")</f>
        <v>ESCOBAR CHUQUIHUACCHA VERONICA SOFIA</v>
      </c>
      <c r="I54" s="93" t="s">
        <v>175</v>
      </c>
      <c r="J54" s="103" t="s">
        <v>176</v>
      </c>
      <c r="K54" s="106" t="s">
        <v>1251</v>
      </c>
      <c r="L54" s="104" t="s">
        <v>1219</v>
      </c>
      <c r="M54" s="65" t="s">
        <v>1266</v>
      </c>
      <c r="N54" s="130" t="str">
        <f>IF(Tabla3[[#This Row],[NRO. DOI]]="","",(IF(Tabla3[[#This Row],[MONEDA]]="Soles",(+VLOOKUP(G54,Tabla1[#All],3,FALSE)),(+VLOOKUP(G54,Tabla6[#All],3,FALSE)))))</f>
        <v>OTRO BANCO</v>
      </c>
      <c r="O54" s="65" t="str">
        <f>IF(Tabla3[[#This Row],[NRO. DOI]]="","",(IF(Tabla3[[#This Row],[MONEDA]]="Soles",(+VLOOKUP(G54,Tabla1[#All],4,FALSE)),(+VLOOKUP(G54,Tabla6[#All],4,FALSE)))))</f>
        <v>00219117528450505358</v>
      </c>
      <c r="P54" s="102" t="s">
        <v>22</v>
      </c>
      <c r="Q54" s="131"/>
      <c r="R54" s="67">
        <v>144.30000000000001</v>
      </c>
      <c r="S54" s="91">
        <f>+IF(Tabla3[[#This Row],[MONEDA]]="DOLARES",Tabla3[[#This Row],[MONTO BRUTO]]*Tabla3[[#This Row],[TIPO DE CAMBIO]],0)</f>
        <v>0</v>
      </c>
      <c r="T5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54" s="91">
        <f>IF(Tabla3[[#This Row],[TIPO DE BIEN O SERVICIO]]="",0,+Tabla3[[#This Row],[MONTO BRUTO]]-Tabla3[[#This Row],[DETRACCION]])</f>
        <v>144.30000000000001</v>
      </c>
      <c r="V54" s="130" t="s">
        <v>24</v>
      </c>
      <c r="W54" s="98">
        <v>46204</v>
      </c>
      <c r="X54" s="97">
        <f>IF(Tabla3[[#This Row],[TIPO DE BIEN O SERVICIO]]="",0,+Tabla3[[#This Row],[MONTO BRUTO]]-Tabla3[[#This Row],[DETRACCION]])</f>
        <v>144.30000000000001</v>
      </c>
      <c r="Y54" s="97">
        <f>+Tabla3[[#This Row],[MONTO NETO A PAGAR]]-Tabla3[[#This Row],[MONTO PAGADO]]</f>
        <v>0</v>
      </c>
      <c r="Z54" s="97" t="str">
        <f>IF(Tabla3[[#This Row],[MONTO PAGADO]]=0,"",(+IF(Tabla3[[#This Row],[SALDO POR PAGAR]]=0,"TOTAL","PARCIAL")))</f>
        <v>TOTAL</v>
      </c>
    </row>
    <row r="55" spans="1:26" x14ac:dyDescent="0.25">
      <c r="A55" s="65">
        <v>48</v>
      </c>
      <c r="B55" s="98">
        <v>46199</v>
      </c>
      <c r="C55" s="99">
        <v>46199</v>
      </c>
      <c r="D55" s="65" t="s">
        <v>1089</v>
      </c>
      <c r="E55" s="100" t="s">
        <v>1090</v>
      </c>
      <c r="F55" s="128" t="s">
        <v>20</v>
      </c>
      <c r="G55" s="101" t="s">
        <v>179</v>
      </c>
      <c r="H55" s="101" t="str">
        <f>IFERROR(+VLOOKUP(G55,Tabla1[#All],2,FALSE),"-")</f>
        <v>HUARICACHA CONDORI AMERICO FREDY</v>
      </c>
      <c r="I55" s="93" t="s">
        <v>18</v>
      </c>
      <c r="J55" s="105" t="s">
        <v>178</v>
      </c>
      <c r="K55" s="106" t="s">
        <v>1252</v>
      </c>
      <c r="L55" s="104" t="s">
        <v>1220</v>
      </c>
      <c r="M55" s="65" t="s">
        <v>1267</v>
      </c>
      <c r="N55" s="130" t="str">
        <f>IF(Tabla3[[#This Row],[NRO. DOI]]="","",(IF(Tabla3[[#This Row],[MONEDA]]="Soles",(+VLOOKUP(G55,Tabla1[#All],3,FALSE)),(+VLOOKUP(G55,Tabla6[#All],3,FALSE)))))</f>
        <v>OTRO BANCO</v>
      </c>
      <c r="O55" s="65" t="str">
        <f>IF(Tabla3[[#This Row],[NRO. DOI]]="","",(IF(Tabla3[[#This Row],[MONEDA]]="Soles",(+VLOOKUP(G55,Tabla1[#All],4,FALSE)),(+VLOOKUP(G55,Tabla6[#All],4,FALSE)))))</f>
        <v>00219113417378407255</v>
      </c>
      <c r="P55" s="102" t="s">
        <v>22</v>
      </c>
      <c r="Q55" s="131"/>
      <c r="R55" s="67">
        <v>1010.03</v>
      </c>
      <c r="S55" s="91">
        <f>+IF(Tabla3[[#This Row],[MONEDA]]="DOLARES",Tabla3[[#This Row],[MONTO BRUTO]]*Tabla3[[#This Row],[TIPO DE CAMBIO]],0)</f>
        <v>0</v>
      </c>
      <c r="T5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121</v>
      </c>
      <c r="U55" s="91">
        <f>IF(Tabla3[[#This Row],[TIPO DE BIEN O SERVICIO]]="",0,+Tabla3[[#This Row],[MONTO BRUTO]]-Tabla3[[#This Row],[DETRACCION]])</f>
        <v>889.03</v>
      </c>
      <c r="V55" s="130" t="s">
        <v>24</v>
      </c>
      <c r="W55" s="98">
        <v>46204</v>
      </c>
      <c r="X55" s="97">
        <f>IF(Tabla3[[#This Row],[TIPO DE BIEN O SERVICIO]]="",0,+Tabla3[[#This Row],[MONTO BRUTO]]-Tabla3[[#This Row],[DETRACCION]])</f>
        <v>889.03</v>
      </c>
      <c r="Y55" s="97">
        <f>+Tabla3[[#This Row],[MONTO NETO A PAGAR]]-Tabla3[[#This Row],[MONTO PAGADO]]</f>
        <v>0</v>
      </c>
      <c r="Z55" s="97" t="str">
        <f>IF(Tabla3[[#This Row],[MONTO PAGADO]]=0,"",(+IF(Tabla3[[#This Row],[SALDO POR PAGAR]]=0,"TOTAL","PARCIAL")))</f>
        <v>TOTAL</v>
      </c>
    </row>
    <row r="56" spans="1:26" x14ac:dyDescent="0.25">
      <c r="A56" s="65">
        <v>49</v>
      </c>
      <c r="B56" s="98">
        <v>46199</v>
      </c>
      <c r="C56" s="99">
        <v>46199</v>
      </c>
      <c r="D56" s="65" t="s">
        <v>1089</v>
      </c>
      <c r="E56" s="100" t="s">
        <v>1090</v>
      </c>
      <c r="F56" s="128" t="s">
        <v>46</v>
      </c>
      <c r="G56" s="101" t="s">
        <v>180</v>
      </c>
      <c r="H56" s="101" t="str">
        <f>IFERROR(+VLOOKUP(G56,Tabla1[#All],2,FALSE),"-")</f>
        <v>GUTIÉRREZ URIARTE SANDRA PAOLA</v>
      </c>
      <c r="I56" s="93" t="s">
        <v>68</v>
      </c>
      <c r="J56" s="103" t="s">
        <v>41</v>
      </c>
      <c r="K56" s="106" t="s">
        <v>1253</v>
      </c>
      <c r="L56" s="104" t="s">
        <v>1221</v>
      </c>
      <c r="M56" s="65" t="s">
        <v>1276</v>
      </c>
      <c r="N56" s="130" t="str">
        <f>IF(Tabla3[[#This Row],[NRO. DOI]]="","",(IF(Tabla3[[#This Row],[MONEDA]]="Soles",(+VLOOKUP(G56,Tabla1[#All],3,FALSE)),(+VLOOKUP(G56,Tabla6[#All],3,FALSE)))))</f>
        <v>OTRO BANCO</v>
      </c>
      <c r="O56" s="65" t="str">
        <f>IF(Tabla3[[#This Row],[NRO. DOI]]="","",(IF(Tabla3[[#This Row],[MONEDA]]="Soles",(+VLOOKUP(G56,Tabla1[#All],4,FALSE)),(+VLOOKUP(G56,Tabla6[#All],4,FALSE)))))</f>
        <v>00363001320185852518</v>
      </c>
      <c r="P56" s="102" t="s">
        <v>22</v>
      </c>
      <c r="Q56" s="131"/>
      <c r="R56" s="67">
        <v>17.3</v>
      </c>
      <c r="S56" s="91">
        <f>+IF(Tabla3[[#This Row],[MONEDA]]="DOLARES",Tabla3[[#This Row],[MONTO BRUTO]]*Tabla3[[#This Row],[TIPO DE CAMBIO]],0)</f>
        <v>0</v>
      </c>
      <c r="T56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56" s="91">
        <f>IF(Tabla3[[#This Row],[TIPO DE BIEN O SERVICIO]]="",0,+Tabla3[[#This Row],[MONTO BRUTO]]-Tabla3[[#This Row],[DETRACCION]])</f>
        <v>17.3</v>
      </c>
      <c r="V56" s="130" t="s">
        <v>24</v>
      </c>
      <c r="W56" s="98">
        <v>46204</v>
      </c>
      <c r="X56" s="97">
        <f>IF(Tabla3[[#This Row],[TIPO DE BIEN O SERVICIO]]="",0,+Tabla3[[#This Row],[MONTO BRUTO]]-Tabla3[[#This Row],[DETRACCION]])</f>
        <v>17.3</v>
      </c>
      <c r="Y56" s="97">
        <f>+Tabla3[[#This Row],[MONTO NETO A PAGAR]]-Tabla3[[#This Row],[MONTO PAGADO]]</f>
        <v>0</v>
      </c>
      <c r="Z56" s="97" t="str">
        <f>IF(Tabla3[[#This Row],[MONTO PAGADO]]=0,"",(+IF(Tabla3[[#This Row],[SALDO POR PAGAR]]=0,"TOTAL","PARCIAL")))</f>
        <v>TOTAL</v>
      </c>
    </row>
    <row r="57" spans="1:26" x14ac:dyDescent="0.25">
      <c r="A57" s="65">
        <v>50</v>
      </c>
      <c r="B57" s="98">
        <v>46199</v>
      </c>
      <c r="C57" s="99">
        <v>46199</v>
      </c>
      <c r="D57" s="65" t="s">
        <v>1089</v>
      </c>
      <c r="E57" s="100" t="s">
        <v>1090</v>
      </c>
      <c r="F57" s="128" t="s">
        <v>46</v>
      </c>
      <c r="G57" s="101" t="s">
        <v>182</v>
      </c>
      <c r="H57" s="101" t="str">
        <f>IFERROR(+VLOOKUP(G57,Tabla1[#All],2,FALSE),"-")</f>
        <v>SAMANIEGO JOAQUIN JHONNEL WILLIAMS</v>
      </c>
      <c r="I57" s="93" t="s">
        <v>41</v>
      </c>
      <c r="J57" s="103" t="s">
        <v>181</v>
      </c>
      <c r="K57" s="106" t="s">
        <v>1254</v>
      </c>
      <c r="L57" s="104" t="s">
        <v>1222</v>
      </c>
      <c r="M57" s="65" t="s">
        <v>1271</v>
      </c>
      <c r="N57" s="130" t="str">
        <f>IF(Tabla3[[#This Row],[NRO. DOI]]="","",(IF(Tabla3[[#This Row],[MONEDA]]="Soles",(+VLOOKUP(G57,Tabla1[#All],3,FALSE)),(+VLOOKUP(G57,Tabla6[#All],3,FALSE)))))</f>
        <v>CONTINENTAL</v>
      </c>
      <c r="O57" s="65" t="str">
        <f>IF(Tabla3[[#This Row],[NRO. DOI]]="","",(IF(Tabla3[[#This Row],[MONEDA]]="Soles",(+VLOOKUP(G57,Tabla1[#All],4,FALSE)),(+VLOOKUP(G57,Tabla6[#All],4,FALSE)))))</f>
        <v>00110712000200200803</v>
      </c>
      <c r="P57" s="102" t="s">
        <v>22</v>
      </c>
      <c r="Q57" s="131"/>
      <c r="R57" s="67">
        <v>165.4</v>
      </c>
      <c r="S57" s="91">
        <f>+IF(Tabla3[[#This Row],[MONEDA]]="DOLARES",Tabla3[[#This Row],[MONTO BRUTO]]*Tabla3[[#This Row],[TIPO DE CAMBIO]],0)</f>
        <v>0</v>
      </c>
      <c r="T57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57" s="91">
        <f>IF(Tabla3[[#This Row],[TIPO DE BIEN O SERVICIO]]="",0,+Tabla3[[#This Row],[MONTO BRUTO]]-Tabla3[[#This Row],[DETRACCION]])</f>
        <v>165.4</v>
      </c>
      <c r="V57" s="130" t="s">
        <v>24</v>
      </c>
      <c r="W57" s="98">
        <v>46204</v>
      </c>
      <c r="X57" s="97">
        <f>IF(Tabla3[[#This Row],[TIPO DE BIEN O SERVICIO]]="",0,+Tabla3[[#This Row],[MONTO BRUTO]]-Tabla3[[#This Row],[DETRACCION]])</f>
        <v>165.4</v>
      </c>
      <c r="Y57" s="97">
        <f>+Tabla3[[#This Row],[MONTO NETO A PAGAR]]-Tabla3[[#This Row],[MONTO PAGADO]]</f>
        <v>0</v>
      </c>
      <c r="Z57" s="97" t="str">
        <f>IF(Tabla3[[#This Row],[MONTO PAGADO]]=0,"",(+IF(Tabla3[[#This Row],[SALDO POR PAGAR]]=0,"TOTAL","PARCIAL")))</f>
        <v>TOTAL</v>
      </c>
    </row>
    <row r="58" spans="1:26" x14ac:dyDescent="0.25">
      <c r="A58" s="65">
        <v>51</v>
      </c>
      <c r="B58" s="98">
        <v>46199</v>
      </c>
      <c r="C58" s="99">
        <v>46199</v>
      </c>
      <c r="D58" s="65" t="s">
        <v>1089</v>
      </c>
      <c r="E58" s="100" t="s">
        <v>1090</v>
      </c>
      <c r="F58" s="128" t="s">
        <v>46</v>
      </c>
      <c r="G58" s="101" t="s">
        <v>182</v>
      </c>
      <c r="H58" s="101" t="str">
        <f>IFERROR(+VLOOKUP(G58,Tabla1[#All],2,FALSE),"-")</f>
        <v>SAMANIEGO JOAQUIN JHONNEL WILLIAMS</v>
      </c>
      <c r="I58" s="93" t="s">
        <v>41</v>
      </c>
      <c r="J58" s="103" t="s">
        <v>41</v>
      </c>
      <c r="K58" s="106" t="s">
        <v>1255</v>
      </c>
      <c r="L58" s="104" t="s">
        <v>1223</v>
      </c>
      <c r="M58" s="65" t="s">
        <v>1268</v>
      </c>
      <c r="N58" s="130" t="str">
        <f>IF(Tabla3[[#This Row],[NRO. DOI]]="","",(IF(Tabla3[[#This Row],[MONEDA]]="Soles",(+VLOOKUP(G58,Tabla1[#All],3,FALSE)),(+VLOOKUP(G58,Tabla6[#All],3,FALSE)))))</f>
        <v>CONTINENTAL</v>
      </c>
      <c r="O58" s="65" t="str">
        <f>IF(Tabla3[[#This Row],[NRO. DOI]]="","",(IF(Tabla3[[#This Row],[MONEDA]]="Soles",(+VLOOKUP(G58,Tabla1[#All],4,FALSE)),(+VLOOKUP(G58,Tabla6[#All],4,FALSE)))))</f>
        <v>00110712000200200803</v>
      </c>
      <c r="P58" s="102" t="s">
        <v>22</v>
      </c>
      <c r="Q58" s="131"/>
      <c r="R58" s="67">
        <v>165.1</v>
      </c>
      <c r="S58" s="91">
        <f>+IF(Tabla3[[#This Row],[MONEDA]]="DOLARES",Tabla3[[#This Row],[MONTO BRUTO]]*Tabla3[[#This Row],[TIPO DE CAMBIO]],0)</f>
        <v>0</v>
      </c>
      <c r="T58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58" s="91">
        <f>IF(Tabla3[[#This Row],[TIPO DE BIEN O SERVICIO]]="",0,+Tabla3[[#This Row],[MONTO BRUTO]]-Tabla3[[#This Row],[DETRACCION]])</f>
        <v>165.1</v>
      </c>
      <c r="V58" s="130" t="s">
        <v>24</v>
      </c>
      <c r="W58" s="98">
        <v>46204</v>
      </c>
      <c r="X58" s="97">
        <f>IF(Tabla3[[#This Row],[TIPO DE BIEN O SERVICIO]]="",0,+Tabla3[[#This Row],[MONTO BRUTO]]-Tabla3[[#This Row],[DETRACCION]])</f>
        <v>165.1</v>
      </c>
      <c r="Y58" s="97">
        <f>+Tabla3[[#This Row],[MONTO NETO A PAGAR]]-Tabla3[[#This Row],[MONTO PAGADO]]</f>
        <v>0</v>
      </c>
      <c r="Z58" s="97" t="str">
        <f>IF(Tabla3[[#This Row],[MONTO PAGADO]]=0,"",(+IF(Tabla3[[#This Row],[SALDO POR PAGAR]]=0,"TOTAL","PARCIAL")))</f>
        <v>TOTAL</v>
      </c>
    </row>
    <row r="59" spans="1:26" ht="30" x14ac:dyDescent="0.25">
      <c r="A59" s="65">
        <v>52</v>
      </c>
      <c r="B59" s="98">
        <v>46199</v>
      </c>
      <c r="C59" s="99">
        <v>46199</v>
      </c>
      <c r="D59" s="65" t="s">
        <v>1089</v>
      </c>
      <c r="E59" s="100" t="s">
        <v>1090</v>
      </c>
      <c r="F59" s="128" t="s">
        <v>20</v>
      </c>
      <c r="G59" s="101" t="s">
        <v>184</v>
      </c>
      <c r="H59" s="101" t="str">
        <f>IFERROR(+VLOOKUP(G59,Tabla1[#All],2,FALSE),"-")</f>
        <v>ANALÍTICA Y ELECTRÓNICA E.I.R.L</v>
      </c>
      <c r="I59" s="93" t="s">
        <v>85</v>
      </c>
      <c r="J59" s="105" t="s">
        <v>183</v>
      </c>
      <c r="K59" s="106" t="s">
        <v>1256</v>
      </c>
      <c r="L59" s="104" t="s">
        <v>1224</v>
      </c>
      <c r="M59" s="65" t="s">
        <v>1274</v>
      </c>
      <c r="N59" s="130" t="str">
        <f>IF(Tabla3[[#This Row],[NRO. DOI]]="","",(IF(Tabla3[[#This Row],[MONEDA]]="Soles",(+VLOOKUP(G59,Tabla1[#All],3,FALSE)),(+VLOOKUP(G59,Tabla6[#All],3,FALSE)))))</f>
        <v>OTRO BANCO</v>
      </c>
      <c r="O59" s="65" t="str">
        <f>IF(Tabla3[[#This Row],[NRO. DOI]]="","",(IF(Tabla3[[#This Row],[MONEDA]]="Soles",(+VLOOKUP(G59,Tabla1[#All],4,FALSE)),(+VLOOKUP(G59,Tabla6[#All],4,FALSE)))))</f>
        <v>00219112026124300158</v>
      </c>
      <c r="P59" s="102" t="s">
        <v>22</v>
      </c>
      <c r="Q59" s="131"/>
      <c r="R59" s="67">
        <f>+((2295*18%)+2295)/2</f>
        <v>1354.05</v>
      </c>
      <c r="S59" s="91">
        <f>+IF(Tabla3[[#This Row],[MONEDA]]="DOLARES",Tabla3[[#This Row],[MONTO BRUTO]]*Tabla3[[#This Row],[TIPO DE CAMBIO]],0)</f>
        <v>0</v>
      </c>
      <c r="T59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162</v>
      </c>
      <c r="U59" s="91">
        <f>IF(Tabla3[[#This Row],[TIPO DE BIEN O SERVICIO]]="",0,+Tabla3[[#This Row],[MONTO BRUTO]]-Tabla3[[#This Row],[DETRACCION]])</f>
        <v>1192.05</v>
      </c>
      <c r="V59" s="130" t="s">
        <v>24</v>
      </c>
      <c r="W59" s="98">
        <v>46204</v>
      </c>
      <c r="X59" s="97">
        <f>IF(Tabla3[[#This Row],[TIPO DE BIEN O SERVICIO]]="",0,+Tabla3[[#This Row],[MONTO BRUTO]]-Tabla3[[#This Row],[DETRACCION]])</f>
        <v>1192.05</v>
      </c>
      <c r="Y59" s="97">
        <f>+Tabla3[[#This Row],[MONTO NETO A PAGAR]]-Tabla3[[#This Row],[MONTO PAGADO]]</f>
        <v>0</v>
      </c>
      <c r="Z59" s="97" t="str">
        <f>IF(Tabla3[[#This Row],[MONTO PAGADO]]=0,"",(+IF(Tabla3[[#This Row],[SALDO POR PAGAR]]=0,"TOTAL","PARCIAL")))</f>
        <v>TOTAL</v>
      </c>
    </row>
    <row r="60" spans="1:26" x14ac:dyDescent="0.25">
      <c r="A60" s="65">
        <v>53</v>
      </c>
      <c r="B60" s="98">
        <v>46199</v>
      </c>
      <c r="C60" s="99">
        <v>46199</v>
      </c>
      <c r="D60" s="65" t="s">
        <v>1089</v>
      </c>
      <c r="E60" s="100" t="s">
        <v>1090</v>
      </c>
      <c r="F60" s="128" t="s">
        <v>20</v>
      </c>
      <c r="G60" s="101" t="s">
        <v>184</v>
      </c>
      <c r="H60" s="101" t="str">
        <f>IFERROR(+VLOOKUP(G60,Tabla1[#All],2,FALSE),"-")</f>
        <v>ANALÍTICA Y ELECTRÓNICA E.I.R.L</v>
      </c>
      <c r="I60" s="93" t="s">
        <v>85</v>
      </c>
      <c r="J60" s="105" t="s">
        <v>185</v>
      </c>
      <c r="K60" s="106" t="s">
        <v>1257</v>
      </c>
      <c r="L60" s="104" t="s">
        <v>1225</v>
      </c>
      <c r="M60" s="65" t="s">
        <v>1274</v>
      </c>
      <c r="N60" s="130" t="str">
        <f>IF(Tabla3[[#This Row],[NRO. DOI]]="","",(IF(Tabla3[[#This Row],[MONEDA]]="Soles",(+VLOOKUP(G60,Tabla1[#All],3,FALSE)),(+VLOOKUP(G60,Tabla6[#All],3,FALSE)))))</f>
        <v>OTRO BANCO</v>
      </c>
      <c r="O60" s="65" t="str">
        <f>IF(Tabla3[[#This Row],[NRO. DOI]]="","",(IF(Tabla3[[#This Row],[MONEDA]]="Soles",(+VLOOKUP(G60,Tabla1[#All],4,FALSE)),(+VLOOKUP(G60,Tabla6[#All],4,FALSE)))))</f>
        <v>00219112026124300158</v>
      </c>
      <c r="P60" s="102" t="s">
        <v>22</v>
      </c>
      <c r="Q60" s="131"/>
      <c r="R60" s="67">
        <f>+((3270*18%)+3270)/2</f>
        <v>1929.3</v>
      </c>
      <c r="S60" s="91">
        <f>+IF(Tabla3[[#This Row],[MONEDA]]="DOLARES",Tabla3[[#This Row],[MONTO BRUTO]]*Tabla3[[#This Row],[TIPO DE CAMBIO]],0)</f>
        <v>0</v>
      </c>
      <c r="T60" s="91"/>
      <c r="U60" s="91">
        <f>IF(Tabla3[[#This Row],[TIPO DE BIEN O SERVICIO]]="",0,+Tabla3[[#This Row],[MONTO BRUTO]]-Tabla3[[#This Row],[DETRACCION]])</f>
        <v>1929.3</v>
      </c>
      <c r="V60" s="130" t="s">
        <v>24</v>
      </c>
      <c r="W60" s="98">
        <v>46204</v>
      </c>
      <c r="X60" s="97">
        <f>IF(Tabla3[[#This Row],[TIPO DE BIEN O SERVICIO]]="",0,+Tabla3[[#This Row],[MONTO BRUTO]]-Tabla3[[#This Row],[DETRACCION]])</f>
        <v>1929.3</v>
      </c>
      <c r="Y60" s="97">
        <f>+Tabla3[[#This Row],[MONTO NETO A PAGAR]]-Tabla3[[#This Row],[MONTO PAGADO]]</f>
        <v>0</v>
      </c>
      <c r="Z60" s="97" t="str">
        <f>IF(Tabla3[[#This Row],[MONTO PAGADO]]=0,"",(+IF(Tabla3[[#This Row],[SALDO POR PAGAR]]=0,"TOTAL","PARCIAL")))</f>
        <v>TOTAL</v>
      </c>
    </row>
    <row r="61" spans="1:26" x14ac:dyDescent="0.25">
      <c r="A61" s="65">
        <v>54</v>
      </c>
      <c r="B61" s="98">
        <v>46199</v>
      </c>
      <c r="C61" s="99">
        <v>46199</v>
      </c>
      <c r="D61" s="65" t="s">
        <v>1089</v>
      </c>
      <c r="E61" s="100" t="s">
        <v>1090</v>
      </c>
      <c r="F61" s="128" t="s">
        <v>20</v>
      </c>
      <c r="G61" s="101" t="s">
        <v>184</v>
      </c>
      <c r="H61" s="101" t="str">
        <f>IFERROR(+VLOOKUP(G61,Tabla1[#All],2,FALSE),"-")</f>
        <v>ANALÍTICA Y ELECTRÓNICA E.I.R.L</v>
      </c>
      <c r="I61" s="93" t="s">
        <v>85</v>
      </c>
      <c r="J61" s="105" t="s">
        <v>186</v>
      </c>
      <c r="K61" s="106" t="s">
        <v>1258</v>
      </c>
      <c r="L61" s="104" t="s">
        <v>1226</v>
      </c>
      <c r="M61" s="65" t="s">
        <v>1274</v>
      </c>
      <c r="N61" s="130" t="str">
        <f>IF(Tabla3[[#This Row],[NRO. DOI]]="","",(IF(Tabla3[[#This Row],[MONEDA]]="Soles",(+VLOOKUP(G61,Tabla1[#All],3,FALSE)),(+VLOOKUP(G61,Tabla6[#All],3,FALSE)))))</f>
        <v>OTRO BANCO</v>
      </c>
      <c r="O61" s="65" t="str">
        <f>IF(Tabla3[[#This Row],[NRO. DOI]]="","",(IF(Tabla3[[#This Row],[MONEDA]]="Soles",(+VLOOKUP(G61,Tabla1[#All],4,FALSE)),(+VLOOKUP(G61,Tabla6[#All],4,FALSE)))))</f>
        <v>00219112026124300158</v>
      </c>
      <c r="P61" s="102" t="s">
        <v>22</v>
      </c>
      <c r="Q61" s="131"/>
      <c r="R61" s="67">
        <f>+((20725*18%)+20725)/2</f>
        <v>12227.75</v>
      </c>
      <c r="S61" s="91">
        <f>+IF(Tabla3[[#This Row],[MONEDA]]="DOLARES",Tabla3[[#This Row],[MONTO BRUTO]]*Tabla3[[#This Row],[TIPO DE CAMBIO]],0)</f>
        <v>0</v>
      </c>
      <c r="T61" s="91"/>
      <c r="U61" s="91">
        <f>IF(Tabla3[[#This Row],[TIPO DE BIEN O SERVICIO]]="",0,+Tabla3[[#This Row],[MONTO BRUTO]]-Tabla3[[#This Row],[DETRACCION]])</f>
        <v>12227.75</v>
      </c>
      <c r="V61" s="130" t="s">
        <v>24</v>
      </c>
      <c r="W61" s="98">
        <v>46204</v>
      </c>
      <c r="X61" s="97">
        <f>IF(Tabla3[[#This Row],[TIPO DE BIEN O SERVICIO]]="",0,+Tabla3[[#This Row],[MONTO BRUTO]]-Tabla3[[#This Row],[DETRACCION]])</f>
        <v>12227.75</v>
      </c>
      <c r="Y61" s="97">
        <f>+Tabla3[[#This Row],[MONTO NETO A PAGAR]]-Tabla3[[#This Row],[MONTO PAGADO]]</f>
        <v>0</v>
      </c>
      <c r="Z61" s="97" t="str">
        <f>IF(Tabla3[[#This Row],[MONTO PAGADO]]=0,"",(+IF(Tabla3[[#This Row],[SALDO POR PAGAR]]=0,"TOTAL","PARCIAL")))</f>
        <v>TOTAL</v>
      </c>
    </row>
    <row r="62" spans="1:26" x14ac:dyDescent="0.25">
      <c r="A62" s="65">
        <v>55</v>
      </c>
      <c r="B62" s="98">
        <v>46203</v>
      </c>
      <c r="C62" s="99">
        <v>46203</v>
      </c>
      <c r="D62" s="65" t="s">
        <v>1089</v>
      </c>
      <c r="E62" s="100" t="s">
        <v>1090</v>
      </c>
      <c r="F62" s="128" t="s">
        <v>20</v>
      </c>
      <c r="G62" s="101" t="s">
        <v>129</v>
      </c>
      <c r="H62" s="101" t="str">
        <f>IFERROR(+VLOOKUP(G62,Tabla1[#All],2,FALSE),"-")</f>
        <v>NG SERVICIOS S.A.C.</v>
      </c>
      <c r="I62" s="93" t="s">
        <v>18</v>
      </c>
      <c r="J62" s="103" t="s">
        <v>187</v>
      </c>
      <c r="K62" s="106" t="s">
        <v>1259</v>
      </c>
      <c r="L62" s="104" t="s">
        <v>188</v>
      </c>
      <c r="M62" s="65" t="s">
        <v>1275</v>
      </c>
      <c r="N62" s="130" t="str">
        <f>IF(Tabla3[[#This Row],[NRO. DOI]]="","",(IF(Tabla3[[#This Row],[MONEDA]]="Soles",(+VLOOKUP(G62,Tabla1[#All],3,FALSE)),(+VLOOKUP(G62,Tabla6[#All],3,FALSE)))))</f>
        <v>CONTINENTAL</v>
      </c>
      <c r="O62" s="65" t="str">
        <f>IF(Tabla3[[#This Row],[NRO. DOI]]="","",(IF(Tabla3[[#This Row],[MONEDA]]="Soles",(+VLOOKUP(G62,Tabla1[#All],4,FALSE)),(+VLOOKUP(G62,Tabla6[#All],4,FALSE)))))</f>
        <v>00110370000200340143</v>
      </c>
      <c r="P62" s="102" t="s">
        <v>22</v>
      </c>
      <c r="Q62" s="131"/>
      <c r="R62" s="67">
        <v>955.8</v>
      </c>
      <c r="S62" s="91">
        <f>+IF(Tabla3[[#This Row],[MONEDA]]="DOLARES",Tabla3[[#This Row],[MONTO BRUTO]]*Tabla3[[#This Row],[TIPO DE CAMBIO]],0)</f>
        <v>0</v>
      </c>
      <c r="T62" s="91">
        <v>115</v>
      </c>
      <c r="U62" s="91">
        <f>IF(Tabla3[[#This Row],[TIPO DE BIEN O SERVICIO]]="",0,+Tabla3[[#This Row],[MONTO BRUTO]]-Tabla3[[#This Row],[DETRACCION]])</f>
        <v>840.8</v>
      </c>
      <c r="V62" s="130" t="s">
        <v>24</v>
      </c>
      <c r="W62" s="98">
        <v>46204</v>
      </c>
      <c r="X62" s="97">
        <f>IF(Tabla3[[#This Row],[TIPO DE BIEN O SERVICIO]]="",0,+Tabla3[[#This Row],[MONTO BRUTO]]-Tabla3[[#This Row],[DETRACCION]])</f>
        <v>840.8</v>
      </c>
      <c r="Y62" s="97">
        <f>+Tabla3[[#This Row],[MONTO NETO A PAGAR]]-Tabla3[[#This Row],[MONTO PAGADO]]</f>
        <v>0</v>
      </c>
      <c r="Z62" s="97" t="str">
        <f>IF(Tabla3[[#This Row],[MONTO PAGADO]]=0,"",(+IF(Tabla3[[#This Row],[SALDO POR PAGAR]]=0,"TOTAL","PARCIAL")))</f>
        <v>TOTAL</v>
      </c>
    </row>
    <row r="63" spans="1:26" x14ac:dyDescent="0.25">
      <c r="A63" s="65">
        <v>56</v>
      </c>
      <c r="B63" s="98">
        <v>46204</v>
      </c>
      <c r="C63" s="99">
        <v>46204</v>
      </c>
      <c r="D63" s="65" t="s">
        <v>1089</v>
      </c>
      <c r="E63" s="100" t="s">
        <v>1090</v>
      </c>
      <c r="F63" s="128" t="s">
        <v>20</v>
      </c>
      <c r="G63" s="101" t="s">
        <v>50</v>
      </c>
      <c r="H63" s="101" t="str">
        <f>IFERROR(+VLOOKUP(G63,Tabla1[#All],2,FALSE),"-")</f>
        <v>ROSADO DE LA CRUZ ROSSI MARILU</v>
      </c>
      <c r="I63" s="93" t="s">
        <v>85</v>
      </c>
      <c r="J63" s="103" t="s">
        <v>189</v>
      </c>
      <c r="K63" s="106" t="s">
        <v>1260</v>
      </c>
      <c r="L63" s="104" t="s">
        <v>190</v>
      </c>
      <c r="M63" s="65" t="s">
        <v>1267</v>
      </c>
      <c r="N63" s="130" t="str">
        <f>IF(Tabla3[[#This Row],[NRO. DOI]]="","",(IF(Tabla3[[#This Row],[MONEDA]]="Soles",(+VLOOKUP(G63,Tabla1[#All],3,FALSE)),(+VLOOKUP(G63,Tabla6[#All],3,FALSE)))))</f>
        <v>OTRO BANCO</v>
      </c>
      <c r="O63" s="65" t="str">
        <f>IF(Tabla3[[#This Row],[NRO. DOI]]="","",(IF(Tabla3[[#This Row],[MONEDA]]="Soles",(+VLOOKUP(G63,Tabla1[#All],4,FALSE)),(+VLOOKUP(G63,Tabla6[#All],4,FALSE)))))</f>
        <v>00219110430344301155</v>
      </c>
      <c r="P63" s="102" t="s">
        <v>22</v>
      </c>
      <c r="Q63" s="131"/>
      <c r="R63" s="67">
        <v>9100</v>
      </c>
      <c r="S63" s="91">
        <f>+IF(Tabla3[[#This Row],[MONEDA]]="DOLARES",Tabla3[[#This Row],[MONTO BRUTO]]*Tabla3[[#This Row],[TIPO DE CAMBIO]],0)</f>
        <v>0</v>
      </c>
      <c r="T63" s="91">
        <v>0</v>
      </c>
      <c r="U63" s="91">
        <f>IF(Tabla3[[#This Row],[TIPO DE BIEN O SERVICIO]]="",0,+Tabla3[[#This Row],[MONTO BRUTO]]-Tabla3[[#This Row],[DETRACCION]])</f>
        <v>9100</v>
      </c>
      <c r="V63" s="130" t="s">
        <v>24</v>
      </c>
      <c r="W63" s="98">
        <v>46204</v>
      </c>
      <c r="X63" s="97">
        <f>IF(Tabla3[[#This Row],[TIPO DE BIEN O SERVICIO]]="",0,+Tabla3[[#This Row],[MONTO BRUTO]]-Tabla3[[#This Row],[DETRACCION]])</f>
        <v>9100</v>
      </c>
      <c r="Y63" s="97">
        <f>+Tabla3[[#This Row],[MONTO NETO A PAGAR]]-Tabla3[[#This Row],[MONTO PAGADO]]</f>
        <v>0</v>
      </c>
      <c r="Z63" s="97" t="str">
        <f>IF(Tabla3[[#This Row],[MONTO PAGADO]]=0,"",(+IF(Tabla3[[#This Row],[SALDO POR PAGAR]]=0,"TOTAL","PARCIAL")))</f>
        <v>TOTAL</v>
      </c>
    </row>
    <row r="64" spans="1:26" x14ac:dyDescent="0.25">
      <c r="A64" s="65">
        <v>57</v>
      </c>
      <c r="B64" s="98">
        <v>46203</v>
      </c>
      <c r="C64" s="99">
        <v>46193</v>
      </c>
      <c r="D64" s="65" t="s">
        <v>1089</v>
      </c>
      <c r="E64" s="100" t="s">
        <v>1090</v>
      </c>
      <c r="F64" s="128" t="s">
        <v>1246</v>
      </c>
      <c r="G64" s="101" t="s">
        <v>193</v>
      </c>
      <c r="H64" s="101" t="str">
        <f>IFERROR(+VLOOKUP(G64,Tabla1[#All],2,FALSE),"-")</f>
        <v>José Gregorio Rodríguez Olivo</v>
      </c>
      <c r="I64" s="93" t="s">
        <v>68</v>
      </c>
      <c r="J64" s="103" t="s">
        <v>191</v>
      </c>
      <c r="K64" s="106" t="s">
        <v>1261</v>
      </c>
      <c r="L64" s="104" t="s">
        <v>1227</v>
      </c>
      <c r="M64" s="65" t="s">
        <v>1268</v>
      </c>
      <c r="N64" s="130" t="str">
        <f>IF(Tabla3[[#This Row],[NRO. DOI]]="","",(IF(Tabla3[[#This Row],[MONEDA]]="Soles",(+VLOOKUP(G64,Tabla1[#All],3,FALSE)),(+VLOOKUP(G64,Tabla6[#All],3,FALSE)))))</f>
        <v>OTRO BANCO</v>
      </c>
      <c r="O64" s="65" t="str">
        <f>IF(Tabla3[[#This Row],[NRO. DOI]]="","",(IF(Tabla3[[#This Row],[MONEDA]]="Soles",(+VLOOKUP(G64,Tabla1[#All],4,FALSE)),(+VLOOKUP(G64,Tabla6[#All],4,FALSE)))))</f>
        <v>00333001335895073383</v>
      </c>
      <c r="P64" s="102" t="s">
        <v>22</v>
      </c>
      <c r="Q64" s="131"/>
      <c r="R64" s="67">
        <v>150</v>
      </c>
      <c r="S64" s="91">
        <f>+IF(Tabla3[[#This Row],[MONEDA]]="DOLARES",Tabla3[[#This Row],[MONTO BRUTO]]*Tabla3[[#This Row],[TIPO DE CAMBIO]],0)</f>
        <v>0</v>
      </c>
      <c r="T6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64" s="91">
        <f>IF(Tabla3[[#This Row],[TIPO DE BIEN O SERVICIO]]="",0,+Tabla3[[#This Row],[MONTO BRUTO]]-Tabla3[[#This Row],[DETRACCION]])</f>
        <v>150</v>
      </c>
      <c r="V64" s="130" t="s">
        <v>24</v>
      </c>
      <c r="W64" s="98">
        <v>46204</v>
      </c>
      <c r="X64" s="97">
        <f>IF(Tabla3[[#This Row],[TIPO DE BIEN O SERVICIO]]="",0,+Tabla3[[#This Row],[MONTO BRUTO]]-Tabla3[[#This Row],[DETRACCION]])</f>
        <v>150</v>
      </c>
      <c r="Y64" s="97">
        <f>+Tabla3[[#This Row],[MONTO NETO A PAGAR]]-Tabla3[[#This Row],[MONTO PAGADO]]</f>
        <v>0</v>
      </c>
      <c r="Z64" s="97" t="str">
        <f>IF(Tabla3[[#This Row],[MONTO PAGADO]]=0,"",(+IF(Tabla3[[#This Row],[SALDO POR PAGAR]]=0,"TOTAL","PARCIAL")))</f>
        <v>TOTAL</v>
      </c>
    </row>
    <row r="65" spans="1:26" x14ac:dyDescent="0.25">
      <c r="A65" s="65">
        <v>58</v>
      </c>
      <c r="B65" s="98">
        <v>46205</v>
      </c>
      <c r="C65" s="99">
        <v>46205</v>
      </c>
      <c r="D65" s="65" t="s">
        <v>1089</v>
      </c>
      <c r="E65" s="100" t="s">
        <v>1090</v>
      </c>
      <c r="F65" s="128" t="s">
        <v>46</v>
      </c>
      <c r="G65" s="101" t="s">
        <v>195</v>
      </c>
      <c r="H65" s="101" t="str">
        <f>IFERROR(+VLOOKUP(G65,Tabla1[#All],2,FALSE),"-")</f>
        <v>CARRANZA VALLEJOS EDILBERTO</v>
      </c>
      <c r="I65" s="93" t="s">
        <v>85</v>
      </c>
      <c r="J65" s="103" t="s">
        <v>194</v>
      </c>
      <c r="L65" s="104" t="s">
        <v>1228</v>
      </c>
      <c r="M65" s="65" t="s">
        <v>1268</v>
      </c>
      <c r="N65" s="130" t="str">
        <f>IF(Tabla3[[#This Row],[NRO. DOI]]="","",(IF(Tabla3[[#This Row],[MONEDA]]="Soles",(+VLOOKUP(G65,Tabla1[#All],3,FALSE)),(+VLOOKUP(G65,Tabla6[#All],3,FALSE)))))</f>
        <v>CONTINENTAL</v>
      </c>
      <c r="O65" s="65" t="str">
        <f>IF(Tabla3[[#This Row],[NRO. DOI]]="","",(IF(Tabla3[[#This Row],[MONEDA]]="Soles",(+VLOOKUP(G65,Tabla1[#All],4,FALSE)),(+VLOOKUP(G65,Tabla6[#All],4,FALSE)))))</f>
        <v>00110128000200675599</v>
      </c>
      <c r="P65" s="102" t="s">
        <v>22</v>
      </c>
      <c r="Q65" s="131"/>
      <c r="R65" s="67">
        <v>30</v>
      </c>
      <c r="S65" s="91">
        <f>+IF(Tabla3[[#This Row],[MONEDA]]="DOLARES",Tabla3[[#This Row],[MONTO BRUTO]]*Tabla3[[#This Row],[TIPO DE CAMBIO]],0)</f>
        <v>0</v>
      </c>
      <c r="T6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65" s="91">
        <f>IF(Tabla3[[#This Row],[TIPO DE BIEN O SERVICIO]]="",0,+Tabla3[[#This Row],[MONTO BRUTO]]-Tabla3[[#This Row],[DETRACCION]])</f>
        <v>30</v>
      </c>
      <c r="V65" s="130" t="s">
        <v>24</v>
      </c>
      <c r="W65" s="99">
        <v>46205</v>
      </c>
      <c r="X65" s="97">
        <f>IF(Tabla3[[#This Row],[TIPO DE BIEN O SERVICIO]]="",0,+Tabla3[[#This Row],[MONTO BRUTO]]-Tabla3[[#This Row],[DETRACCION]])</f>
        <v>30</v>
      </c>
      <c r="Y65" s="97">
        <f>+Tabla3[[#This Row],[MONTO NETO A PAGAR]]-Tabla3[[#This Row],[MONTO PAGADO]]</f>
        <v>0</v>
      </c>
      <c r="Z65" s="97" t="str">
        <f>IF(Tabla3[[#This Row],[MONTO PAGADO]]=0,"",(+IF(Tabla3[[#This Row],[SALDO POR PAGAR]]=0,"TOTAL","PARCIAL")))</f>
        <v>TOTAL</v>
      </c>
    </row>
    <row r="66" spans="1:26" x14ac:dyDescent="0.25">
      <c r="A66" s="65">
        <v>59</v>
      </c>
      <c r="B66" s="98">
        <v>46205</v>
      </c>
      <c r="C66" s="99">
        <v>46205</v>
      </c>
      <c r="D66" s="65" t="s">
        <v>1089</v>
      </c>
      <c r="E66" s="100" t="s">
        <v>1090</v>
      </c>
      <c r="F66" s="128" t="s">
        <v>46</v>
      </c>
      <c r="G66" s="101" t="s">
        <v>197</v>
      </c>
      <c r="H66" s="101" t="str">
        <f>IFERROR(+VLOOKUP(G66,Tabla1[#All],2,FALSE),"-")</f>
        <v>GOMEZ BERROSPI PAUL LEONARDO</v>
      </c>
      <c r="I66" s="93" t="s">
        <v>175</v>
      </c>
      <c r="J66" s="103" t="s">
        <v>196</v>
      </c>
      <c r="L66" s="104" t="s">
        <v>1229</v>
      </c>
      <c r="M66" s="65" t="s">
        <v>1276</v>
      </c>
      <c r="N66" s="130" t="str">
        <f>IF(Tabla3[[#This Row],[NRO. DOI]]="","",(IF(Tabla3[[#This Row],[MONEDA]]="Soles",(+VLOOKUP(G66,Tabla1[#All],3,FALSE)),(+VLOOKUP(G66,Tabla6[#All],3,FALSE)))))</f>
        <v>CONTINENTAL</v>
      </c>
      <c r="O66" s="65" t="str">
        <f>IF(Tabla3[[#This Row],[NRO. DOI]]="","",(IF(Tabla3[[#This Row],[MONEDA]]="Soles",(+VLOOKUP(G66,Tabla1[#All],4,FALSE)),(+VLOOKUP(G66,Tabla6[#All],4,FALSE)))))</f>
        <v>00110322000200378610</v>
      </c>
      <c r="P66" s="102" t="s">
        <v>22</v>
      </c>
      <c r="Q66" s="131"/>
      <c r="R66" s="67">
        <v>2970.09</v>
      </c>
      <c r="S66" s="91">
        <f>+IF(Tabla3[[#This Row],[MONEDA]]="DOLARES",Tabla3[[#This Row],[MONTO BRUTO]]*Tabla3[[#This Row],[TIPO DE CAMBIO]],0)</f>
        <v>0</v>
      </c>
      <c r="T66" s="91">
        <v>0</v>
      </c>
      <c r="U66" s="91">
        <f>IF(Tabla3[[#This Row],[TIPO DE BIEN O SERVICIO]]="",0,+Tabla3[[#This Row],[MONTO BRUTO]]-Tabla3[[#This Row],[DETRACCION]])</f>
        <v>2970.09</v>
      </c>
      <c r="V66" s="130" t="s">
        <v>24</v>
      </c>
      <c r="W66" s="99">
        <v>46209</v>
      </c>
      <c r="X66" s="97">
        <f>IF(Tabla3[[#This Row],[TIPO DE BIEN O SERVICIO]]="",0,+Tabla3[[#This Row],[MONTO BRUTO]]-Tabla3[[#This Row],[DETRACCION]])</f>
        <v>2970.09</v>
      </c>
      <c r="Y66" s="97">
        <f>+Tabla3[[#This Row],[MONTO NETO A PAGAR]]-Tabla3[[#This Row],[MONTO PAGADO]]</f>
        <v>0</v>
      </c>
      <c r="Z66" s="97" t="str">
        <f>IF(Tabla3[[#This Row],[MONTO PAGADO]]=0,"",(+IF(Tabla3[[#This Row],[SALDO POR PAGAR]]=0,"TOTAL","PARCIAL")))</f>
        <v>TOTAL</v>
      </c>
    </row>
    <row r="67" spans="1:26" x14ac:dyDescent="0.25">
      <c r="A67" s="65">
        <v>60</v>
      </c>
      <c r="B67" s="98">
        <v>46203</v>
      </c>
      <c r="C67" s="99">
        <v>46203</v>
      </c>
      <c r="D67" s="65" t="s">
        <v>1089</v>
      </c>
      <c r="E67" s="100" t="s">
        <v>1090</v>
      </c>
      <c r="F67" s="128" t="s">
        <v>20</v>
      </c>
      <c r="G67" s="112" t="s">
        <v>199</v>
      </c>
      <c r="H67" s="101" t="str">
        <f>IFERROR(+VLOOKUP(G67,Tabla1[#All],2,FALSE),"-")</f>
        <v>SERVICIOS PROFESIONALES JCJ ASOCIADOS S.A.C.S.</v>
      </c>
      <c r="I67" s="93" t="s">
        <v>18</v>
      </c>
      <c r="J67" s="103" t="s">
        <v>198</v>
      </c>
      <c r="L67" s="104" t="s">
        <v>200</v>
      </c>
      <c r="M67" s="65" t="s">
        <v>1280</v>
      </c>
      <c r="N67" s="130" t="str">
        <f>IF(Tabla3[[#This Row],[NRO. DOI]]="","",(IF(Tabla3[[#This Row],[MONEDA]]="Soles",(+VLOOKUP(G67,Tabla1[#All],3,FALSE)),(+VLOOKUP(G67,Tabla6[#All],3,FALSE)))))</f>
        <v>OTRO BANCO</v>
      </c>
      <c r="O67" s="65" t="str">
        <f>IF(Tabla3[[#This Row],[NRO. DOI]]="","",(IF(Tabla3[[#This Row],[MONEDA]]="Soles",(+VLOOKUP(G67,Tabla1[#All],4,FALSE)),(+VLOOKUP(G67,Tabla6[#All],4,FALSE)))))</f>
        <v>00320000300633683137</v>
      </c>
      <c r="P67" s="102" t="s">
        <v>22</v>
      </c>
      <c r="Q67" s="131"/>
      <c r="R67" s="67">
        <v>472</v>
      </c>
      <c r="S67" s="91">
        <f>+IF(Tabla3[[#This Row],[MONEDA]]="DOLARES",Tabla3[[#This Row],[MONTO BRUTO]]*Tabla3[[#This Row],[TIPO DE CAMBIO]],0)</f>
        <v>0</v>
      </c>
      <c r="T67" s="91">
        <v>0</v>
      </c>
      <c r="U67" s="91">
        <f>IF(Tabla3[[#This Row],[TIPO DE BIEN O SERVICIO]]="",0,+Tabla3[[#This Row],[MONTO BRUTO]]-Tabla3[[#This Row],[DETRACCION]])</f>
        <v>472</v>
      </c>
      <c r="V67" s="130" t="s">
        <v>24</v>
      </c>
      <c r="W67" s="99">
        <v>46209</v>
      </c>
      <c r="X67" s="97">
        <f>IF(Tabla3[[#This Row],[TIPO DE BIEN O SERVICIO]]="",0,+Tabla3[[#This Row],[MONTO BRUTO]]-Tabla3[[#This Row],[DETRACCION]])</f>
        <v>472</v>
      </c>
      <c r="Y67" s="97">
        <f>+Tabla3[[#This Row],[MONTO NETO A PAGAR]]-Tabla3[[#This Row],[MONTO PAGADO]]</f>
        <v>0</v>
      </c>
      <c r="Z67" s="97" t="str">
        <f>IF(Tabla3[[#This Row],[MONTO PAGADO]]=0,"",(+IF(Tabla3[[#This Row],[SALDO POR PAGAR]]=0,"TOTAL","PARCIAL")))</f>
        <v>TOTAL</v>
      </c>
    </row>
    <row r="68" spans="1:26" x14ac:dyDescent="0.25">
      <c r="A68" s="65">
        <v>61</v>
      </c>
      <c r="B68" s="98">
        <v>46204</v>
      </c>
      <c r="C68" s="99">
        <v>46204</v>
      </c>
      <c r="D68" s="65" t="s">
        <v>1089</v>
      </c>
      <c r="E68" s="100" t="s">
        <v>1090</v>
      </c>
      <c r="F68" s="128" t="s">
        <v>20</v>
      </c>
      <c r="G68" s="101" t="s">
        <v>202</v>
      </c>
      <c r="H68" s="101" t="str">
        <f>IFERROR(+VLOOKUP(G68,Tabla1[#All],2,FALSE),"-")</f>
        <v>OUTFRONT HUB S.A.C.</v>
      </c>
      <c r="I68" s="93" t="s">
        <v>18</v>
      </c>
      <c r="J68" s="103" t="s">
        <v>201</v>
      </c>
      <c r="L68" s="104" t="s">
        <v>203</v>
      </c>
      <c r="M68" s="65" t="s">
        <v>1267</v>
      </c>
      <c r="N68" s="130" t="str">
        <f>IF(Tabla3[[#This Row],[NRO. DOI]]="","",(IF(Tabla3[[#This Row],[MONEDA]]="Soles",(+VLOOKUP(G68,Tabla1[#All],3,FALSE)),(+VLOOKUP(G68,Tabla6[#All],3,FALSE)))))</f>
        <v>OTRO BANCO</v>
      </c>
      <c r="O68" s="65" t="str">
        <f>IF(Tabla3[[#This Row],[NRO. DOI]]="","",(IF(Tabla3[[#This Row],[MONEDA]]="Soles",(+VLOOKUP(G68,Tabla1[#All],4,FALSE)),(+VLOOKUP(G68,Tabla6[#All],4,FALSE)))))</f>
        <v>00219400723188504198</v>
      </c>
      <c r="P68" s="102" t="s">
        <v>22</v>
      </c>
      <c r="Q68" s="131"/>
      <c r="R68" s="67">
        <v>4720</v>
      </c>
      <c r="S68" s="91">
        <f>+IF(Tabla3[[#This Row],[MONEDA]]="DOLARES",Tabla3[[#This Row],[MONTO BRUTO]]*Tabla3[[#This Row],[TIPO DE CAMBIO]],0)</f>
        <v>0</v>
      </c>
      <c r="T68" s="91">
        <v>566</v>
      </c>
      <c r="U68" s="91">
        <f>IF(Tabla3[[#This Row],[TIPO DE BIEN O SERVICIO]]="",0,+Tabla3[[#This Row],[MONTO BRUTO]]-Tabla3[[#This Row],[DETRACCION]])</f>
        <v>4154</v>
      </c>
      <c r="V68" s="130" t="s">
        <v>24</v>
      </c>
      <c r="W68" s="99">
        <v>46209</v>
      </c>
      <c r="X68" s="97">
        <f>IF(Tabla3[[#This Row],[TIPO DE BIEN O SERVICIO]]="",0,+Tabla3[[#This Row],[MONTO BRUTO]]-Tabla3[[#This Row],[DETRACCION]])</f>
        <v>4154</v>
      </c>
      <c r="Y68" s="97">
        <f>+Tabla3[[#This Row],[MONTO NETO A PAGAR]]-Tabla3[[#This Row],[MONTO PAGADO]]</f>
        <v>0</v>
      </c>
      <c r="Z68" s="97" t="str">
        <f>IF(Tabla3[[#This Row],[MONTO PAGADO]]=0,"",(+IF(Tabla3[[#This Row],[SALDO POR PAGAR]]=0,"TOTAL","PARCIAL")))</f>
        <v>TOTAL</v>
      </c>
    </row>
    <row r="69" spans="1:26" x14ac:dyDescent="0.25">
      <c r="A69" s="65">
        <v>62</v>
      </c>
      <c r="B69" s="98">
        <v>46204</v>
      </c>
      <c r="C69" s="99">
        <v>46204</v>
      </c>
      <c r="D69" s="65" t="s">
        <v>1089</v>
      </c>
      <c r="E69" s="100" t="s">
        <v>1090</v>
      </c>
      <c r="F69" s="128" t="s">
        <v>20</v>
      </c>
      <c r="G69" s="101" t="s">
        <v>148</v>
      </c>
      <c r="H69" s="101" t="str">
        <f>IFERROR(+VLOOKUP(G69,Tabla1[#All],2,FALSE),"-")</f>
        <v>NETVOICE SA.C.</v>
      </c>
      <c r="I69" s="93" t="s">
        <v>18</v>
      </c>
      <c r="J69" s="103" t="s">
        <v>204</v>
      </c>
      <c r="L69" s="104" t="s">
        <v>205</v>
      </c>
      <c r="M69" s="65" t="s">
        <v>1266</v>
      </c>
      <c r="N69" s="130" t="str">
        <f>IF(Tabla3[[#This Row],[NRO. DOI]]="","",(IF(Tabla3[[#This Row],[MONEDA]]="Soles",(+VLOOKUP(G69,Tabla1[#All],3,FALSE)),(+VLOOKUP(G69,Tabla6[#All],3,FALSE)))))</f>
        <v>OTRO BANCO</v>
      </c>
      <c r="O69" s="65" t="str">
        <f>IF(Tabla3[[#This Row],[NRO. DOI]]="","",(IF(Tabla3[[#This Row],[MONEDA]]="Soles",(+VLOOKUP(G69,Tabla1[#All],4,FALSE)),(+VLOOKUP(G69,Tabla6[#All],4,FALSE)))))</f>
        <v>00389800300393291945</v>
      </c>
      <c r="P69" s="102" t="s">
        <v>27</v>
      </c>
      <c r="Q69" s="132">
        <v>3.5</v>
      </c>
      <c r="R69" s="91">
        <v>76.89</v>
      </c>
      <c r="S69" s="91">
        <f>+IF(Tabla3[[#This Row],[MONEDA]]="DOLARES",Tabla3[[#This Row],[MONTO BRUTO]]*Tabla3[[#This Row],[TIPO DE CAMBIO]],0)</f>
        <v>269.11500000000001</v>
      </c>
      <c r="T69" s="91">
        <v>0</v>
      </c>
      <c r="U69" s="91">
        <f>IF(Tabla3[[#This Row],[TIPO DE BIEN O SERVICIO]]="",0,+Tabla3[[#This Row],[MONTO BRUTO]]-Tabla3[[#This Row],[DETRACCION]])</f>
        <v>76.89</v>
      </c>
      <c r="V69" s="130" t="s">
        <v>24</v>
      </c>
      <c r="W69" s="99">
        <v>46209</v>
      </c>
      <c r="X69" s="97">
        <f>IF(Tabla3[[#This Row],[TIPO DE BIEN O SERVICIO]]="",0,+Tabla3[[#This Row],[MONTO BRUTO]]-Tabla3[[#This Row],[DETRACCION]])</f>
        <v>76.89</v>
      </c>
      <c r="Y69" s="97">
        <f>+Tabla3[[#This Row],[MONTO NETO A PAGAR]]-Tabla3[[#This Row],[MONTO PAGADO]]</f>
        <v>0</v>
      </c>
      <c r="Z69" s="97" t="str">
        <f>IF(Tabla3[[#This Row],[MONTO PAGADO]]=0,"",(+IF(Tabla3[[#This Row],[SALDO POR PAGAR]]=0,"TOTAL","PARCIAL")))</f>
        <v>TOTAL</v>
      </c>
    </row>
    <row r="70" spans="1:26" x14ac:dyDescent="0.25">
      <c r="A70" s="65">
        <v>63</v>
      </c>
      <c r="B70" s="98">
        <v>46204</v>
      </c>
      <c r="C70" s="99">
        <v>46204</v>
      </c>
      <c r="D70" s="65" t="s">
        <v>1089</v>
      </c>
      <c r="E70" s="100" t="s">
        <v>1090</v>
      </c>
      <c r="F70" s="128" t="s">
        <v>20</v>
      </c>
      <c r="G70" s="101" t="s">
        <v>207</v>
      </c>
      <c r="H70" s="101" t="str">
        <f>IFERROR(+VLOOKUP(G70,Tabla1[#All],2,FALSE),"-")</f>
        <v>EGOLARTE SAC</v>
      </c>
      <c r="I70" s="93" t="s">
        <v>85</v>
      </c>
      <c r="J70" s="103" t="s">
        <v>206</v>
      </c>
      <c r="L70" s="104" t="s">
        <v>208</v>
      </c>
      <c r="M70" s="65" t="s">
        <v>1281</v>
      </c>
      <c r="N70" s="130" t="str">
        <f>IF(Tabla3[[#This Row],[NRO. DOI]]="","",(IF(Tabla3[[#This Row],[MONEDA]]="Soles",(+VLOOKUP(G70,Tabla1[#All],3,FALSE)),(+VLOOKUP(G70,Tabla6[#All],3,FALSE)))))</f>
        <v>CONTINENTAL</v>
      </c>
      <c r="O70" s="65" t="str">
        <f>IF(Tabla3[[#This Row],[NRO. DOI]]="","",(IF(Tabla3[[#This Row],[MONEDA]]="Soles",(+VLOOKUP(G70,Tabla1[#All],4,FALSE)),(+VLOOKUP(G70,Tabla6[#All],4,FALSE)))))</f>
        <v>00110353000100044099</v>
      </c>
      <c r="P70" s="102" t="s">
        <v>22</v>
      </c>
      <c r="Q70" s="131"/>
      <c r="R70" s="67">
        <v>1989</v>
      </c>
      <c r="S70" s="91">
        <f>+IF(Tabla3[[#This Row],[MONEDA]]="DOLARES",Tabla3[[#This Row],[MONTO BRUTO]]*Tabla3[[#This Row],[TIPO DE CAMBIO]],0)</f>
        <v>0</v>
      </c>
      <c r="T70" s="91">
        <v>0</v>
      </c>
      <c r="U70" s="91">
        <f>IF(Tabla3[[#This Row],[TIPO DE BIEN O SERVICIO]]="",0,+Tabla3[[#This Row],[MONTO BRUTO]]-Tabla3[[#This Row],[DETRACCION]])</f>
        <v>1989</v>
      </c>
      <c r="V70" s="130" t="s">
        <v>24</v>
      </c>
      <c r="W70" s="99">
        <v>46209</v>
      </c>
      <c r="X70" s="97">
        <f>IF(Tabla3[[#This Row],[TIPO DE BIEN O SERVICIO]]="",0,+Tabla3[[#This Row],[MONTO BRUTO]]-Tabla3[[#This Row],[DETRACCION]])</f>
        <v>1989</v>
      </c>
      <c r="Y70" s="97">
        <f>+Tabla3[[#This Row],[MONTO NETO A PAGAR]]-Tabla3[[#This Row],[MONTO PAGADO]]</f>
        <v>0</v>
      </c>
      <c r="Z70" s="97" t="str">
        <f>IF(Tabla3[[#This Row],[MONTO PAGADO]]=0,"",(+IF(Tabla3[[#This Row],[SALDO POR PAGAR]]=0,"TOTAL","PARCIAL")))</f>
        <v>TOTAL</v>
      </c>
    </row>
    <row r="71" spans="1:26" x14ac:dyDescent="0.25">
      <c r="A71" s="65">
        <v>64</v>
      </c>
      <c r="B71" s="98">
        <v>46204</v>
      </c>
      <c r="C71" s="99">
        <v>46204</v>
      </c>
      <c r="D71" s="65" t="s">
        <v>1089</v>
      </c>
      <c r="E71" s="100" t="s">
        <v>1090</v>
      </c>
      <c r="F71" s="128" t="s">
        <v>20</v>
      </c>
      <c r="G71" s="101" t="s">
        <v>210</v>
      </c>
      <c r="H71" s="101" t="str">
        <f>IFERROR(+VLOOKUP(G71,Tabla1[#All],2,FALSE),"-")</f>
        <v>GREEN INSUQUIMICA SAC</v>
      </c>
      <c r="I71" s="93" t="s">
        <v>85</v>
      </c>
      <c r="J71" s="103" t="s">
        <v>209</v>
      </c>
      <c r="L71" s="104" t="s">
        <v>1230</v>
      </c>
      <c r="M71" s="65" t="s">
        <v>1214</v>
      </c>
      <c r="N71" s="130" t="str">
        <f>IF(Tabla3[[#This Row],[NRO. DOI]]="","",(IF(Tabla3[[#This Row],[MONEDA]]="Soles",(+VLOOKUP(G71,Tabla1[#All],3,FALSE)),(+VLOOKUP(G71,Tabla6[#All],3,FALSE)))))</f>
        <v>OTRO BANCO</v>
      </c>
      <c r="O71" s="65" t="str">
        <f>IF(Tabla3[[#This Row],[NRO. DOI]]="","",(IF(Tabla3[[#This Row],[MONEDA]]="Soles",(+VLOOKUP(G71,Tabla1[#All],4,FALSE)),(+VLOOKUP(G71,Tabla6[#All],4,FALSE)))))</f>
        <v>00219100940024809859</v>
      </c>
      <c r="P71" s="102" t="s">
        <v>22</v>
      </c>
      <c r="Q71" s="131"/>
      <c r="R71" s="67">
        <v>677.5</v>
      </c>
      <c r="S71" s="91">
        <f>+IF(Tabla3[[#This Row],[MONEDA]]="DOLARES",Tabla3[[#This Row],[MONTO BRUTO]]*Tabla3[[#This Row],[TIPO DE CAMBIO]],0)</f>
        <v>0</v>
      </c>
      <c r="T71" s="91">
        <v>0</v>
      </c>
      <c r="U71" s="91">
        <f>IF(Tabla3[[#This Row],[TIPO DE BIEN O SERVICIO]]="",0,+Tabla3[[#This Row],[MONTO BRUTO]]-Tabla3[[#This Row],[DETRACCION]])</f>
        <v>677.5</v>
      </c>
      <c r="V71" s="130" t="s">
        <v>24</v>
      </c>
      <c r="W71" s="99">
        <v>46209</v>
      </c>
      <c r="X71" s="97">
        <f>IF(Tabla3[[#This Row],[TIPO DE BIEN O SERVICIO]]="",0,+Tabla3[[#This Row],[MONTO BRUTO]]-Tabla3[[#This Row],[DETRACCION]])</f>
        <v>677.5</v>
      </c>
      <c r="Y71" s="97">
        <f>+Tabla3[[#This Row],[MONTO NETO A PAGAR]]-Tabla3[[#This Row],[MONTO PAGADO]]</f>
        <v>0</v>
      </c>
      <c r="Z71" s="97" t="str">
        <f>IF(Tabla3[[#This Row],[MONTO PAGADO]]=0,"",(+IF(Tabla3[[#This Row],[SALDO POR PAGAR]]=0,"TOTAL","PARCIAL")))</f>
        <v>TOTAL</v>
      </c>
    </row>
    <row r="72" spans="1:26" x14ac:dyDescent="0.25">
      <c r="A72" s="65">
        <v>65</v>
      </c>
      <c r="B72" s="98">
        <v>47300</v>
      </c>
      <c r="C72" s="99">
        <v>46203</v>
      </c>
      <c r="D72" s="65" t="s">
        <v>1089</v>
      </c>
      <c r="E72" s="100" t="s">
        <v>1090</v>
      </c>
      <c r="F72" s="128" t="s">
        <v>20</v>
      </c>
      <c r="G72" s="101" t="s">
        <v>212</v>
      </c>
      <c r="H72" s="101" t="str">
        <f>IFERROR(+VLOOKUP(G72,Tabla1[#All],2,FALSE),"-")</f>
        <v>IMPORTADORA ANDINA E.I.R.L</v>
      </c>
      <c r="I72" s="93" t="s">
        <v>85</v>
      </c>
      <c r="J72" s="103" t="s">
        <v>211</v>
      </c>
      <c r="L72" s="104" t="s">
        <v>1230</v>
      </c>
      <c r="M72" s="65" t="s">
        <v>1214</v>
      </c>
      <c r="N72" s="130" t="str">
        <f>IF(Tabla3[[#This Row],[NRO. DOI]]="","",(IF(Tabla3[[#This Row],[MONEDA]]="Soles",(+VLOOKUP(G72,Tabla1[#All],3,FALSE)),(+VLOOKUP(G72,Tabla6[#All],3,FALSE)))))</f>
        <v>OTRO BANCO</v>
      </c>
      <c r="O72" s="65" t="str">
        <f>IF(Tabla3[[#This Row],[NRO. DOI]]="","",(IF(Tabla3[[#This Row],[MONEDA]]="Soles",(+VLOOKUP(G72,Tabla1[#All],4,FALSE)),(+VLOOKUP(G72,Tabla6[#All],4,FALSE)))))</f>
        <v>00219100175876005155</v>
      </c>
      <c r="P72" s="102" t="s">
        <v>22</v>
      </c>
      <c r="Q72" s="131"/>
      <c r="R72" s="67">
        <v>1559.19</v>
      </c>
      <c r="S72" s="91">
        <f>+IF(Tabla3[[#This Row],[MONEDA]]="DOLARES",Tabla3[[#This Row],[MONTO BRUTO]]*Tabla3[[#This Row],[TIPO DE CAMBIO]],0)</f>
        <v>0</v>
      </c>
      <c r="T72" s="91">
        <v>0</v>
      </c>
      <c r="U72" s="91">
        <f>IF(Tabla3[[#This Row],[TIPO DE BIEN O SERVICIO]]="",0,+Tabla3[[#This Row],[MONTO BRUTO]]-Tabla3[[#This Row],[DETRACCION]])</f>
        <v>1559.19</v>
      </c>
      <c r="V72" s="130" t="s">
        <v>24</v>
      </c>
      <c r="W72" s="99">
        <v>46209</v>
      </c>
      <c r="X72" s="97">
        <f>IF(Tabla3[[#This Row],[TIPO DE BIEN O SERVICIO]]="",0,+Tabla3[[#This Row],[MONTO BRUTO]]-Tabla3[[#This Row],[DETRACCION]])</f>
        <v>1559.19</v>
      </c>
      <c r="Y72" s="97">
        <f>+Tabla3[[#This Row],[MONTO NETO A PAGAR]]-Tabla3[[#This Row],[MONTO PAGADO]]</f>
        <v>0</v>
      </c>
      <c r="Z72" s="97" t="str">
        <f>IF(Tabla3[[#This Row],[MONTO PAGADO]]=0,"",(+IF(Tabla3[[#This Row],[SALDO POR PAGAR]]=0,"TOTAL","PARCIAL")))</f>
        <v>TOTAL</v>
      </c>
    </row>
    <row r="73" spans="1:26" x14ac:dyDescent="0.25">
      <c r="A73" s="65">
        <v>66</v>
      </c>
      <c r="B73" s="98">
        <v>46205</v>
      </c>
      <c r="C73" s="99">
        <v>46203</v>
      </c>
      <c r="D73" s="65" t="s">
        <v>1089</v>
      </c>
      <c r="E73" s="100" t="s">
        <v>1090</v>
      </c>
      <c r="F73" s="128" t="s">
        <v>20</v>
      </c>
      <c r="G73" s="101" t="s">
        <v>109</v>
      </c>
      <c r="H73" s="101" t="str">
        <f>IFERROR(+VLOOKUP(G73,Tabla1[#All],2,FALSE),"-")</f>
        <v>EQUIFAX PERU SAC</v>
      </c>
      <c r="I73" s="93" t="s">
        <v>18</v>
      </c>
      <c r="J73" s="103" t="s">
        <v>213</v>
      </c>
      <c r="L73" s="104" t="s">
        <v>214</v>
      </c>
      <c r="M73" s="65" t="s">
        <v>1282</v>
      </c>
      <c r="N73" s="130" t="str">
        <f>IF(Tabla3[[#This Row],[NRO. DOI]]="","",(IF(Tabla3[[#This Row],[MONEDA]]="Soles",(+VLOOKUP(G73,Tabla1[#All],3,FALSE)),(+VLOOKUP(G73,Tabla6[#All],3,FALSE)))))</f>
        <v>OTRO BANCO</v>
      </c>
      <c r="O73" s="65" t="str">
        <f>IF(Tabla3[[#This Row],[NRO. DOI]]="","",(IF(Tabla3[[#This Row],[MONEDA]]="Soles",(+VLOOKUP(G73,Tabla1[#All],4,FALSE)),(+VLOOKUP(G73,Tabla6[#All],4,FALSE)))))</f>
        <v>00219400211742109092</v>
      </c>
      <c r="P73" s="102" t="s">
        <v>22</v>
      </c>
      <c r="Q73" s="131"/>
      <c r="R73" s="67">
        <v>577.02</v>
      </c>
      <c r="S73" s="91">
        <f>+IF(Tabla3[[#This Row],[MONEDA]]="DOLARES",Tabla3[[#This Row],[MONTO BRUTO]]*Tabla3[[#This Row],[TIPO DE CAMBIO]],0)</f>
        <v>0</v>
      </c>
      <c r="T73" s="91"/>
      <c r="U73" s="91">
        <f>IF(Tabla3[[#This Row],[TIPO DE BIEN O SERVICIO]]="",0,+Tabla3[[#This Row],[MONTO BRUTO]]-Tabla3[[#This Row],[DETRACCION]])</f>
        <v>577.02</v>
      </c>
      <c r="V73" s="130" t="s">
        <v>24</v>
      </c>
      <c r="W73" s="99">
        <v>46209</v>
      </c>
      <c r="X73" s="97">
        <f>IF(Tabla3[[#This Row],[TIPO DE BIEN O SERVICIO]]="",0,+Tabla3[[#This Row],[MONTO BRUTO]]-Tabla3[[#This Row],[DETRACCION]])</f>
        <v>577.02</v>
      </c>
      <c r="Y73" s="97">
        <f>+Tabla3[[#This Row],[MONTO NETO A PAGAR]]-Tabla3[[#This Row],[MONTO PAGADO]]</f>
        <v>0</v>
      </c>
      <c r="Z73" s="97" t="str">
        <f>IF(Tabla3[[#This Row],[MONTO PAGADO]]=0,"",(+IF(Tabla3[[#This Row],[SALDO POR PAGAR]]=0,"TOTAL","PARCIAL")))</f>
        <v>TOTAL</v>
      </c>
    </row>
    <row r="74" spans="1:26" x14ac:dyDescent="0.25">
      <c r="A74" s="65">
        <v>67</v>
      </c>
      <c r="B74" s="98">
        <v>46205</v>
      </c>
      <c r="C74" s="99">
        <v>46205</v>
      </c>
      <c r="D74" s="65" t="s">
        <v>1089</v>
      </c>
      <c r="E74" s="100" t="s">
        <v>1090</v>
      </c>
      <c r="F74" s="128" t="s">
        <v>20</v>
      </c>
      <c r="G74" s="101" t="s">
        <v>216</v>
      </c>
      <c r="H74" s="101" t="str">
        <f>IFERROR(+VLOOKUP(G74,Tabla1[#All],2,FALSE),"-")</f>
        <v>HOLACLIENTE SAC</v>
      </c>
      <c r="I74" s="93" t="s">
        <v>85</v>
      </c>
      <c r="J74" s="103" t="s">
        <v>215</v>
      </c>
      <c r="L74" s="104" t="s">
        <v>1231</v>
      </c>
      <c r="M74" s="65" t="s">
        <v>1266</v>
      </c>
      <c r="N74" s="130" t="str">
        <f>IF(Tabla3[[#This Row],[NRO. DOI]]="","",(IF(Tabla3[[#This Row],[MONEDA]]="Soles",(+VLOOKUP(G74,Tabla1[#All],3,FALSE)),(+VLOOKUP(G74,Tabla6[#All],3,FALSE)))))</f>
        <v>CONTINENTAL</v>
      </c>
      <c r="O74" s="65" t="str">
        <f>IF(Tabla3[[#This Row],[NRO. DOI]]="","",(IF(Tabla3[[#This Row],[MONEDA]]="Soles",(+VLOOKUP(G74,Tabla1[#All],4,FALSE)),(+VLOOKUP(G74,Tabla6[#All],4,FALSE)))))</f>
        <v>00110908000100006797</v>
      </c>
      <c r="P74" s="102" t="s">
        <v>22</v>
      </c>
      <c r="Q74" s="131"/>
      <c r="R74" s="67">
        <v>6584.4</v>
      </c>
      <c r="S74" s="91">
        <f>+IF(Tabla3[[#This Row],[MONEDA]]="DOLARES",Tabla3[[#This Row],[MONTO BRUTO]]*Tabla3[[#This Row],[TIPO DE CAMBIO]],0)</f>
        <v>0</v>
      </c>
      <c r="T74" s="91">
        <v>790</v>
      </c>
      <c r="U74" s="91">
        <f>IF(Tabla3[[#This Row],[TIPO DE BIEN O SERVICIO]]="",0,+Tabla3[[#This Row],[MONTO BRUTO]]-Tabla3[[#This Row],[DETRACCION]])</f>
        <v>5794.4</v>
      </c>
      <c r="V74" s="130" t="s">
        <v>217</v>
      </c>
      <c r="W74" s="99"/>
      <c r="X74" s="97">
        <f>IF(Tabla3[[#This Row],[TIPO DE BIEN O SERVICIO]]="",0,+Tabla3[[#This Row],[MONTO BRUTO]]-Tabla3[[#This Row],[DETRACCION]])</f>
        <v>5794.4</v>
      </c>
      <c r="Y74" s="97">
        <f>+Tabla3[[#This Row],[MONTO NETO A PAGAR]]-Tabla3[[#This Row],[MONTO PAGADO]]</f>
        <v>0</v>
      </c>
      <c r="Z74" s="97" t="str">
        <f>IF(Tabla3[[#This Row],[MONTO PAGADO]]=0,"",(+IF(Tabla3[[#This Row],[SALDO POR PAGAR]]=0,"TOTAL","PARCIAL")))</f>
        <v>TOTAL</v>
      </c>
    </row>
    <row r="75" spans="1:26" x14ac:dyDescent="0.25">
      <c r="A75" s="65">
        <v>68</v>
      </c>
      <c r="B75" s="98">
        <v>46209</v>
      </c>
      <c r="C75" s="99">
        <v>46209</v>
      </c>
      <c r="D75" s="65" t="s">
        <v>1089</v>
      </c>
      <c r="E75" s="100" t="s">
        <v>1090</v>
      </c>
      <c r="F75" s="128" t="s">
        <v>20</v>
      </c>
      <c r="G75" s="101" t="s">
        <v>43</v>
      </c>
      <c r="H75" s="101" t="str">
        <f>IFERROR(+VLOOKUP(G75,Tabla1[#All],2,FALSE),"-")</f>
        <v>UNIVERSIDAD MARIA AUXILIADORA S.A.C.</v>
      </c>
      <c r="I75" s="93" t="s">
        <v>175</v>
      </c>
      <c r="J75" s="103" t="s">
        <v>218</v>
      </c>
      <c r="L75" s="104" t="s">
        <v>1232</v>
      </c>
      <c r="M75" s="65" t="s">
        <v>1266</v>
      </c>
      <c r="N75" s="130" t="str">
        <f>IF(Tabla3[[#This Row],[NRO. DOI]]="","",(IF(Tabla3[[#This Row],[MONEDA]]="Soles",(+VLOOKUP(G75,Tabla1[#All],3,FALSE)),(+VLOOKUP(G75,Tabla6[#All],3,FALSE)))))</f>
        <v>CONTINENTAL</v>
      </c>
      <c r="O75" s="65" t="str">
        <f>IF(Tabla3[[#This Row],[NRO. DOI]]="","",(IF(Tabla3[[#This Row],[MONEDA]]="Soles",(+VLOOKUP(G75,Tabla1[#All],4,FALSE)),(+VLOOKUP(G75,Tabla6[#All],4,FALSE)))))</f>
        <v>00110436000200000324</v>
      </c>
      <c r="P75" s="102" t="s">
        <v>22</v>
      </c>
      <c r="Q75" s="131"/>
      <c r="R75" s="67">
        <v>50000</v>
      </c>
      <c r="S75" s="91">
        <f>+IF(Tabla3[[#This Row],[MONEDA]]="DOLARES",Tabla3[[#This Row],[MONTO BRUTO]]*Tabla3[[#This Row],[TIPO DE CAMBIO]],0)</f>
        <v>0</v>
      </c>
      <c r="T75" s="91">
        <v>0</v>
      </c>
      <c r="U75" s="91">
        <f>IF(Tabla3[[#This Row],[TIPO DE BIEN O SERVICIO]]="",0,+Tabla3[[#This Row],[MONTO BRUTO]]-Tabla3[[#This Row],[DETRACCION]])</f>
        <v>50000</v>
      </c>
      <c r="V75" s="130" t="s">
        <v>24</v>
      </c>
      <c r="W75" s="99">
        <v>46209</v>
      </c>
      <c r="X75" s="97">
        <f>IF(Tabla3[[#This Row],[TIPO DE BIEN O SERVICIO]]="",0,+Tabla3[[#This Row],[MONTO BRUTO]]-Tabla3[[#This Row],[DETRACCION]])</f>
        <v>50000</v>
      </c>
      <c r="Y75" s="97">
        <f>+Tabla3[[#This Row],[MONTO NETO A PAGAR]]-Tabla3[[#This Row],[MONTO PAGADO]]</f>
        <v>0</v>
      </c>
      <c r="Z75" s="97" t="str">
        <f>IF(Tabla3[[#This Row],[MONTO PAGADO]]=0,"",(+IF(Tabla3[[#This Row],[SALDO POR PAGAR]]=0,"TOTAL","PARCIAL")))</f>
        <v>TOTAL</v>
      </c>
    </row>
    <row r="76" spans="1:26" x14ac:dyDescent="0.25">
      <c r="A76" s="65">
        <v>69</v>
      </c>
      <c r="B76" s="98">
        <v>46209</v>
      </c>
      <c r="C76" s="99">
        <v>46209</v>
      </c>
      <c r="D76" s="65" t="s">
        <v>1089</v>
      </c>
      <c r="E76" s="100" t="s">
        <v>1090</v>
      </c>
      <c r="F76" s="128" t="s">
        <v>20</v>
      </c>
      <c r="G76" s="101" t="s">
        <v>43</v>
      </c>
      <c r="H76" s="101" t="str">
        <f>IFERROR(+VLOOKUP(G76,Tabla1[#All],2,FALSE),"-")</f>
        <v>UNIVERSIDAD MARIA AUXILIADORA S.A.C.</v>
      </c>
      <c r="I76" s="93" t="s">
        <v>175</v>
      </c>
      <c r="J76" s="103" t="s">
        <v>218</v>
      </c>
      <c r="L76" s="104" t="s">
        <v>1233</v>
      </c>
      <c r="M76" s="65" t="s">
        <v>1266</v>
      </c>
      <c r="N76" s="130" t="str">
        <f>IF(Tabla3[[#This Row],[NRO. DOI]]="","",(IF(Tabla3[[#This Row],[MONEDA]]="Soles",(+VLOOKUP(G76,Tabla1[#All],3,FALSE)),(+VLOOKUP(G76,Tabla6[#All],3,FALSE)))))</f>
        <v>CONTINENTAL</v>
      </c>
      <c r="O76" s="65" t="str">
        <f>IF(Tabla3[[#This Row],[NRO. DOI]]="","",(IF(Tabla3[[#This Row],[MONEDA]]="Soles",(+VLOOKUP(G76,Tabla1[#All],4,FALSE)),(+VLOOKUP(G76,Tabla6[#All],4,FALSE)))))</f>
        <v>00110436000200000324</v>
      </c>
      <c r="P76" s="102" t="s">
        <v>22</v>
      </c>
      <c r="Q76" s="131"/>
      <c r="R76" s="67">
        <v>12000</v>
      </c>
      <c r="S76" s="91">
        <f>+IF(Tabla3[[#This Row],[MONEDA]]="DOLARES",Tabla3[[#This Row],[MONTO BRUTO]]*Tabla3[[#This Row],[TIPO DE CAMBIO]],0)</f>
        <v>0</v>
      </c>
      <c r="T76" s="91">
        <v>0</v>
      </c>
      <c r="U76" s="91">
        <f>IF(Tabla3[[#This Row],[TIPO DE BIEN O SERVICIO]]="",0,+Tabla3[[#This Row],[MONTO BRUTO]]-Tabla3[[#This Row],[DETRACCION]])</f>
        <v>12000</v>
      </c>
      <c r="V76" s="130" t="s">
        <v>24</v>
      </c>
      <c r="W76" s="99">
        <v>46209</v>
      </c>
      <c r="X76" s="97">
        <f>IF(Tabla3[[#This Row],[TIPO DE BIEN O SERVICIO]]="",0,+Tabla3[[#This Row],[MONTO BRUTO]]-Tabla3[[#This Row],[DETRACCION]])</f>
        <v>12000</v>
      </c>
      <c r="Y76" s="97">
        <f>+Tabla3[[#This Row],[MONTO NETO A PAGAR]]-Tabla3[[#This Row],[MONTO PAGADO]]</f>
        <v>0</v>
      </c>
      <c r="Z76" s="97" t="str">
        <f>IF(Tabla3[[#This Row],[MONTO PAGADO]]=0,"",(+IF(Tabla3[[#This Row],[SALDO POR PAGAR]]=0,"TOTAL","PARCIAL")))</f>
        <v>TOTAL</v>
      </c>
    </row>
    <row r="77" spans="1:26" x14ac:dyDescent="0.25">
      <c r="A77" s="65">
        <v>70</v>
      </c>
      <c r="B77" s="98">
        <v>46207</v>
      </c>
      <c r="C77" s="99">
        <v>46207</v>
      </c>
      <c r="D77" s="65" t="s">
        <v>1089</v>
      </c>
      <c r="E77" s="100" t="s">
        <v>1090</v>
      </c>
      <c r="F77" s="128" t="s">
        <v>46</v>
      </c>
      <c r="G77" s="101" t="s">
        <v>219</v>
      </c>
      <c r="H77" s="101" t="str">
        <f>IFERROR(+VLOOKUP(G77,Tabla1[#All],2,FALSE),"-")</f>
        <v>POPUCHE CABRERA KARINA</v>
      </c>
      <c r="I77" s="93" t="s">
        <v>41</v>
      </c>
      <c r="J77" s="103" t="s">
        <v>41</v>
      </c>
      <c r="L77" s="104" t="s">
        <v>1234</v>
      </c>
      <c r="M77" s="65" t="s">
        <v>1276</v>
      </c>
      <c r="N77" s="130" t="str">
        <f>IF(Tabla3[[#This Row],[NRO. DOI]]="","",(IF(Tabla3[[#This Row],[MONEDA]]="Soles",(+VLOOKUP(G77,Tabla1[#All],3,FALSE)),(+VLOOKUP(G77,Tabla6[#All],3,FALSE)))))</f>
        <v>OTRO BANCO</v>
      </c>
      <c r="O77" s="65" t="str">
        <f>IF(Tabla3[[#This Row],[NRO. DOI]]="","",(IF(Tabla3[[#This Row],[MONEDA]]="Soles",(+VLOOKUP(G77,Tabla1[#All],4,FALSE)),(+VLOOKUP(G77,Tabla6[#All],4,FALSE)))))</f>
        <v>00370001307385084521</v>
      </c>
      <c r="P77" s="102" t="s">
        <v>22</v>
      </c>
      <c r="Q77" s="131"/>
      <c r="R77" s="67">
        <f>200+149.6</f>
        <v>349.6</v>
      </c>
      <c r="S77" s="91">
        <f>+IF(Tabla3[[#This Row],[MONEDA]]="DOLARES",Tabla3[[#This Row],[MONTO BRUTO]]*Tabla3[[#This Row],[TIPO DE CAMBIO]],0)</f>
        <v>0</v>
      </c>
      <c r="T77" s="91">
        <v>0</v>
      </c>
      <c r="U77" s="91">
        <f>IF(Tabla3[[#This Row],[TIPO DE BIEN O SERVICIO]]="",0,+Tabla3[[#This Row],[MONTO BRUTO]]-Tabla3[[#This Row],[DETRACCION]])</f>
        <v>349.6</v>
      </c>
      <c r="V77" s="130" t="s">
        <v>24</v>
      </c>
      <c r="W77" s="99">
        <v>46209</v>
      </c>
      <c r="X77" s="97">
        <f>IF(Tabla3[[#This Row],[TIPO DE BIEN O SERVICIO]]="",0,+Tabla3[[#This Row],[MONTO BRUTO]]-Tabla3[[#This Row],[DETRACCION]])</f>
        <v>349.6</v>
      </c>
      <c r="Y77" s="97">
        <f>+Tabla3[[#This Row],[MONTO NETO A PAGAR]]-Tabla3[[#This Row],[MONTO PAGADO]]</f>
        <v>0</v>
      </c>
      <c r="Z77" s="97" t="str">
        <f>IF(Tabla3[[#This Row],[MONTO PAGADO]]=0,"",(+IF(Tabla3[[#This Row],[SALDO POR PAGAR]]=0,"TOTAL","PARCIAL")))</f>
        <v>TOTAL</v>
      </c>
    </row>
    <row r="78" spans="1:26" x14ac:dyDescent="0.25">
      <c r="A78" s="65">
        <v>71</v>
      </c>
      <c r="B78" s="98">
        <v>46208</v>
      </c>
      <c r="C78" s="99">
        <v>46208</v>
      </c>
      <c r="D78" s="65" t="s">
        <v>1089</v>
      </c>
      <c r="E78" s="100" t="s">
        <v>1090</v>
      </c>
      <c r="F78" s="128" t="s">
        <v>20</v>
      </c>
      <c r="G78" s="101" t="s">
        <v>30</v>
      </c>
      <c r="H78" s="101" t="str">
        <f>IFERROR(+VLOOKUP(G78,Tabla1[#All],2,FALSE),"-")</f>
        <v>ASOCIACIÓN DE BANCOS DEL PERÚ</v>
      </c>
      <c r="I78" s="93" t="s">
        <v>18</v>
      </c>
      <c r="J78" s="103" t="s">
        <v>220</v>
      </c>
      <c r="L78" s="104" t="s">
        <v>1235</v>
      </c>
      <c r="M78" s="65" t="s">
        <v>1266</v>
      </c>
      <c r="N78" s="130" t="str">
        <f>IF(Tabla3[[#This Row],[NRO. DOI]]="","",(IF(Tabla3[[#This Row],[MONEDA]]="Soles",(+VLOOKUP(G78,Tabla1[#All],3,FALSE)),(+VLOOKUP(G78,Tabla6[#All],3,FALSE)))))</f>
        <v>OTRO BANCO</v>
      </c>
      <c r="O78" s="65" t="str">
        <f>IF(Tabla3[[#This Row],[NRO. DOI]]="","",(IF(Tabla3[[#This Row],[MONEDA]]="Soles",(+VLOOKUP(G78,Tabla1[#All],4,FALSE)),(+VLOOKUP(G78,Tabla6[#All],4,FALSE)))))</f>
        <v>00219100101694710059</v>
      </c>
      <c r="P78" s="102" t="s">
        <v>27</v>
      </c>
      <c r="Q78" s="132">
        <v>3.5</v>
      </c>
      <c r="R78" s="91">
        <v>1357</v>
      </c>
      <c r="S78" s="91">
        <f>+IF(Tabla3[[#This Row],[MONEDA]]="DOLARES",Tabla3[[#This Row],[MONTO BRUTO]]*Tabla3[[#This Row],[TIPO DE CAMBIO]],0)</f>
        <v>4749.5</v>
      </c>
      <c r="T78" s="91">
        <v>163</v>
      </c>
      <c r="U78" s="91">
        <f>IF(Tabla3[[#This Row],[TIPO DE BIEN O SERVICIO]]="",0,+Tabla3[[#This Row],[MONTO BRUTO]]-Tabla3[[#This Row],[DETRACCION]])</f>
        <v>1194</v>
      </c>
      <c r="V78" s="130" t="s">
        <v>24</v>
      </c>
      <c r="W78" s="99">
        <v>46209</v>
      </c>
      <c r="X78" s="97">
        <f>IF(Tabla3[[#This Row],[TIPO DE BIEN O SERVICIO]]="",0,+Tabla3[[#This Row],[MONTO BRUTO]]-Tabla3[[#This Row],[DETRACCION]])</f>
        <v>1194</v>
      </c>
      <c r="Y78" s="97">
        <f>+Tabla3[[#This Row],[MONTO NETO A PAGAR]]-Tabla3[[#This Row],[MONTO PAGADO]]</f>
        <v>0</v>
      </c>
      <c r="Z78" s="97" t="str">
        <f>IF(Tabla3[[#This Row],[MONTO PAGADO]]=0,"",(+IF(Tabla3[[#This Row],[SALDO POR PAGAR]]=0,"TOTAL","PARCIAL")))</f>
        <v>TOTAL</v>
      </c>
    </row>
    <row r="79" spans="1:26" x14ac:dyDescent="0.25">
      <c r="A79" s="65">
        <v>72</v>
      </c>
      <c r="B79" s="98">
        <v>46209</v>
      </c>
      <c r="C79" s="99">
        <v>46206</v>
      </c>
      <c r="D79" s="65" t="s">
        <v>1089</v>
      </c>
      <c r="E79" s="100" t="s">
        <v>1090</v>
      </c>
      <c r="F79" s="128" t="s">
        <v>20</v>
      </c>
      <c r="G79" s="101" t="s">
        <v>222</v>
      </c>
      <c r="H79" s="101" t="str">
        <f>IFERROR(+VLOOKUP(G79,Tabla1[#All],2,FALSE),"-")</f>
        <v>KUELAP INGENIEROS S.A.C</v>
      </c>
      <c r="I79" s="93" t="s">
        <v>18</v>
      </c>
      <c r="J79" s="103" t="s">
        <v>221</v>
      </c>
      <c r="L79" s="104" t="s">
        <v>1236</v>
      </c>
      <c r="M79" s="65" t="s">
        <v>1288</v>
      </c>
      <c r="N79" s="130" t="str">
        <f>IF(Tabla3[[#This Row],[NRO. DOI]]="","",(IF(Tabla3[[#This Row],[MONEDA]]="Soles",(+VLOOKUP(G79,Tabla1[#All],3,FALSE)),(+VLOOKUP(G79,Tabla6[#All],3,FALSE)))))</f>
        <v>CONTINENTAL</v>
      </c>
      <c r="O79" s="65" t="str">
        <f>IF(Tabla3[[#This Row],[NRO. DOI]]="","",(IF(Tabla3[[#This Row],[MONEDA]]="Soles",(+VLOOKUP(G79,Tabla1[#All],4,FALSE)),(+VLOOKUP(G79,Tabla6[#All],4,FALSE)))))</f>
        <v>00110787000100029979</v>
      </c>
      <c r="P79" s="102" t="s">
        <v>22</v>
      </c>
      <c r="Q79" s="131"/>
      <c r="R79" s="67">
        <v>7080</v>
      </c>
      <c r="S79" s="91">
        <f>+IF(Tabla3[[#This Row],[MONEDA]]="DOLARES",Tabla3[[#This Row],[MONTO BRUTO]]*Tabla3[[#This Row],[TIPO DE CAMBIO]],0)</f>
        <v>0</v>
      </c>
      <c r="T79" s="91">
        <v>850</v>
      </c>
      <c r="U79" s="91">
        <f>IF(Tabla3[[#This Row],[TIPO DE BIEN O SERVICIO]]="",0,+Tabla3[[#This Row],[MONTO BRUTO]]-Tabla3[[#This Row],[DETRACCION]])</f>
        <v>6230</v>
      </c>
      <c r="V79" s="130" t="s">
        <v>24</v>
      </c>
      <c r="W79" s="99">
        <v>46209</v>
      </c>
      <c r="X79" s="97">
        <f>IF(Tabla3[[#This Row],[TIPO DE BIEN O SERVICIO]]="",0,+Tabla3[[#This Row],[MONTO BRUTO]]-Tabla3[[#This Row],[DETRACCION]])</f>
        <v>6230</v>
      </c>
      <c r="Y79" s="97">
        <f>+Tabla3[[#This Row],[MONTO NETO A PAGAR]]-Tabla3[[#This Row],[MONTO PAGADO]]</f>
        <v>0</v>
      </c>
      <c r="Z79" s="97" t="str">
        <f>IF(Tabla3[[#This Row],[MONTO PAGADO]]=0,"",(+IF(Tabla3[[#This Row],[SALDO POR PAGAR]]=0,"TOTAL","PARCIAL")))</f>
        <v>TOTAL</v>
      </c>
    </row>
    <row r="80" spans="1:26" x14ac:dyDescent="0.25">
      <c r="A80" s="65">
        <v>73</v>
      </c>
      <c r="B80" s="98">
        <v>46209</v>
      </c>
      <c r="C80" s="99">
        <v>46209</v>
      </c>
      <c r="D80" s="65" t="s">
        <v>1089</v>
      </c>
      <c r="E80" s="100" t="s">
        <v>1090</v>
      </c>
      <c r="F80" s="128" t="s">
        <v>20</v>
      </c>
      <c r="G80" s="101" t="s">
        <v>224</v>
      </c>
      <c r="H80" s="101" t="str">
        <f>IFERROR(+VLOOKUP(G80,Tabla1[#All],2,FALSE),"-")</f>
        <v>VENTURA CAVALCANTI MIRIAM HEYDI</v>
      </c>
      <c r="I80" s="93" t="s">
        <v>175</v>
      </c>
      <c r="J80" s="103" t="s">
        <v>223</v>
      </c>
      <c r="L80" s="104" t="s">
        <v>1237</v>
      </c>
      <c r="M80" s="65" t="s">
        <v>1268</v>
      </c>
      <c r="N80" s="130" t="str">
        <f>IF(Tabla3[[#This Row],[NRO. DOI]]="","",(IF(Tabla3[[#This Row],[MONEDA]]="Soles",(+VLOOKUP(G80,Tabla1[#All],3,FALSE)),(+VLOOKUP(G80,Tabla6[#All],3,FALSE)))))</f>
        <v>CONTINENTAL</v>
      </c>
      <c r="O80" s="65" t="str">
        <f>IF(Tabla3[[#This Row],[NRO. DOI]]="","",(IF(Tabla3[[#This Row],[MONEDA]]="Soles",(+VLOOKUP(G80,Tabla1[#All],4,FALSE)),(+VLOOKUP(G80,Tabla6[#All],4,FALSE)))))</f>
        <v>00110057000222462445</v>
      </c>
      <c r="P80" s="102" t="s">
        <v>22</v>
      </c>
      <c r="Q80" s="131"/>
      <c r="R80" s="67">
        <v>1500</v>
      </c>
      <c r="S80" s="91">
        <f>+IF(Tabla3[[#This Row],[MONEDA]]="DOLARES",Tabla3[[#This Row],[MONTO BRUTO]]*Tabla3[[#This Row],[TIPO DE CAMBIO]],0)</f>
        <v>0</v>
      </c>
      <c r="T80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180</v>
      </c>
      <c r="U80" s="91">
        <f>IF(Tabla3[[#This Row],[TIPO DE BIEN O SERVICIO]]="",0,+Tabla3[[#This Row],[MONTO BRUTO]]-Tabla3[[#This Row],[DETRACCION]])</f>
        <v>1320</v>
      </c>
      <c r="V80" s="130" t="s">
        <v>24</v>
      </c>
      <c r="W80" s="99">
        <v>46209</v>
      </c>
      <c r="X80" s="97">
        <f>IF(Tabla3[[#This Row],[TIPO DE BIEN O SERVICIO]]="",0,+Tabla3[[#This Row],[MONTO BRUTO]]-Tabla3[[#This Row],[DETRACCION]])</f>
        <v>1320</v>
      </c>
      <c r="Y80" s="97">
        <f>+Tabla3[[#This Row],[MONTO NETO A PAGAR]]-Tabla3[[#This Row],[MONTO PAGADO]]</f>
        <v>0</v>
      </c>
      <c r="Z80" s="97" t="str">
        <f>IF(Tabla3[[#This Row],[MONTO PAGADO]]=0,"",(+IF(Tabla3[[#This Row],[SALDO POR PAGAR]]=0,"TOTAL","PARCIAL")))</f>
        <v>TOTAL</v>
      </c>
    </row>
    <row r="81" spans="1:26" x14ac:dyDescent="0.25">
      <c r="A81" s="65">
        <v>74</v>
      </c>
      <c r="B81" s="98">
        <v>46209</v>
      </c>
      <c r="C81" s="99">
        <v>46206</v>
      </c>
      <c r="D81" s="65" t="s">
        <v>1089</v>
      </c>
      <c r="E81" s="100" t="s">
        <v>1090</v>
      </c>
      <c r="F81" s="128" t="s">
        <v>20</v>
      </c>
      <c r="G81" s="101" t="s">
        <v>225</v>
      </c>
      <c r="H81" s="101" t="str">
        <f>IFERROR(+VLOOKUP(G81,Tabla1[#All],2,FALSE),"-")</f>
        <v>LANDAURO CARRASCO RAFAEL MARTIN</v>
      </c>
      <c r="I81" s="93" t="s">
        <v>41</v>
      </c>
      <c r="J81" s="103" t="s">
        <v>41</v>
      </c>
      <c r="L81" s="104" t="s">
        <v>1238</v>
      </c>
      <c r="M81" s="65" t="s">
        <v>1268</v>
      </c>
      <c r="N81" s="130" t="str">
        <f>IF(Tabla3[[#This Row],[NRO. DOI]]="","",(IF(Tabla3[[#This Row],[MONEDA]]="Soles",(+VLOOKUP(G81,Tabla1[#All],3,FALSE)),(+VLOOKUP(G81,Tabla6[#All],3,FALSE)))))</f>
        <v>OTRO BANCO</v>
      </c>
      <c r="O81" s="65" t="str">
        <f>IF(Tabla3[[#This Row],[NRO. DOI]]="","",(IF(Tabla3[[#This Row],[MONEDA]]="Soles",(+VLOOKUP(G81,Tabla1[#All],4,FALSE)),(+VLOOKUP(G81,Tabla6[#All],4,FALSE)))))</f>
        <v>00219311045150107117</v>
      </c>
      <c r="P81" s="102" t="s">
        <v>22</v>
      </c>
      <c r="Q81" s="131"/>
      <c r="R81" s="67">
        <v>302.5</v>
      </c>
      <c r="S81" s="91">
        <f>+IF(Tabla3[[#This Row],[MONEDA]]="DOLARES",Tabla3[[#This Row],[MONTO BRUTO]]*Tabla3[[#This Row],[TIPO DE CAMBIO]],0)</f>
        <v>0</v>
      </c>
      <c r="T81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81" s="91">
        <f>IF(Tabla3[[#This Row],[TIPO DE BIEN O SERVICIO]]="",0,+Tabla3[[#This Row],[MONTO BRUTO]]-Tabla3[[#This Row],[DETRACCION]])</f>
        <v>302.5</v>
      </c>
      <c r="V81" s="130" t="s">
        <v>24</v>
      </c>
      <c r="W81" s="99">
        <v>46209</v>
      </c>
      <c r="X81" s="97">
        <f>IF(Tabla3[[#This Row],[TIPO DE BIEN O SERVICIO]]="",0,+Tabla3[[#This Row],[MONTO BRUTO]]-Tabla3[[#This Row],[DETRACCION]])</f>
        <v>302.5</v>
      </c>
      <c r="Y81" s="97">
        <f>+Tabla3[[#This Row],[MONTO NETO A PAGAR]]-Tabla3[[#This Row],[MONTO PAGADO]]</f>
        <v>0</v>
      </c>
      <c r="Z81" s="97" t="str">
        <f>IF(Tabla3[[#This Row],[MONTO PAGADO]]=0,"",(+IF(Tabla3[[#This Row],[SALDO POR PAGAR]]=0,"TOTAL","PARCIAL")))</f>
        <v>TOTAL</v>
      </c>
    </row>
    <row r="82" spans="1:26" x14ac:dyDescent="0.25">
      <c r="A82" s="65">
        <v>75</v>
      </c>
      <c r="B82" s="98">
        <v>46198</v>
      </c>
      <c r="C82" s="99">
        <v>46182</v>
      </c>
      <c r="D82" s="65" t="s">
        <v>1089</v>
      </c>
      <c r="E82" s="100" t="s">
        <v>1090</v>
      </c>
      <c r="F82" s="128" t="s">
        <v>20</v>
      </c>
      <c r="G82" s="101" t="s">
        <v>227</v>
      </c>
      <c r="H82" s="101" t="str">
        <f>IFERROR(+VLOOKUP(G82,Tabla1[#All],2,FALSE),"-")</f>
        <v>NYTEC S.A.C.</v>
      </c>
      <c r="I82" s="93" t="s">
        <v>85</v>
      </c>
      <c r="J82" s="103" t="s">
        <v>226</v>
      </c>
      <c r="L82" s="104" t="s">
        <v>1239</v>
      </c>
      <c r="M82" s="65" t="s">
        <v>1286</v>
      </c>
      <c r="N82" s="130" t="str">
        <f>IF(Tabla3[[#This Row],[NRO. DOI]]="","",(IF(Tabla3[[#This Row],[MONEDA]]="Soles",(+VLOOKUP(G82,Tabla1[#All],3,FALSE)),(+VLOOKUP(G82,Tabla6[#All],3,FALSE)))))</f>
        <v>OTRO BANCO</v>
      </c>
      <c r="O82" s="65" t="str">
        <f>IF(Tabla3[[#This Row],[NRO. DOI]]="","",(IF(Tabla3[[#This Row],[MONEDA]]="Soles",(+VLOOKUP(G82,Tabla1[#All],4,FALSE)),(+VLOOKUP(G82,Tabla6[#All],4,FALSE)))))</f>
        <v>00304500300134240523</v>
      </c>
      <c r="P82" s="102" t="s">
        <v>27</v>
      </c>
      <c r="Q82" s="132">
        <v>3.5</v>
      </c>
      <c r="R82" s="91">
        <f>(2489*18%)+2489</f>
        <v>2937.02</v>
      </c>
      <c r="S82" s="91">
        <f>+IF(Tabla3[[#This Row],[MONEDA]]="DOLARES",Tabla3[[#This Row],[MONTO BRUTO]]*Tabla3[[#This Row],[TIPO DE CAMBIO]],0)</f>
        <v>10279.57</v>
      </c>
      <c r="T82" s="91">
        <v>0</v>
      </c>
      <c r="U82" s="91">
        <f>IF(Tabla3[[#This Row],[TIPO DE BIEN O SERVICIO]]="",0,+Tabla3[[#This Row],[MONTO BRUTO]]-Tabla3[[#This Row],[DETRACCION]])</f>
        <v>2937.02</v>
      </c>
      <c r="V82" s="130" t="s">
        <v>24</v>
      </c>
      <c r="W82" s="99">
        <v>46209</v>
      </c>
      <c r="X82" s="97">
        <f>IF(Tabla3[[#This Row],[TIPO DE BIEN O SERVICIO]]="",0,+Tabla3[[#This Row],[MONTO BRUTO]]-Tabla3[[#This Row],[DETRACCION]])</f>
        <v>2937.02</v>
      </c>
      <c r="Y82" s="97">
        <f>+Tabla3[[#This Row],[MONTO NETO A PAGAR]]-Tabla3[[#This Row],[MONTO PAGADO]]</f>
        <v>0</v>
      </c>
      <c r="Z82" s="97" t="str">
        <f>IF(Tabla3[[#This Row],[MONTO PAGADO]]=0,"",(+IF(Tabla3[[#This Row],[SALDO POR PAGAR]]=0,"TOTAL","PARCIAL")))</f>
        <v>TOTAL</v>
      </c>
    </row>
    <row r="83" spans="1:26" x14ac:dyDescent="0.25">
      <c r="A83" s="65">
        <v>76</v>
      </c>
      <c r="B83" s="98">
        <v>46204</v>
      </c>
      <c r="C83" s="99">
        <v>46204</v>
      </c>
      <c r="D83" s="65" t="s">
        <v>1089</v>
      </c>
      <c r="E83" s="100" t="s">
        <v>1090</v>
      </c>
      <c r="F83" s="128" t="s">
        <v>20</v>
      </c>
      <c r="G83" s="101" t="s">
        <v>229</v>
      </c>
      <c r="H83" s="101" t="str">
        <f>IFERROR(+VLOOKUP(G83,Tabla1[#All],2,FALSE),"-")</f>
        <v>CLOUD SECURITEC SAC</v>
      </c>
      <c r="I83" s="93" t="s">
        <v>18</v>
      </c>
      <c r="J83" s="103" t="s">
        <v>228</v>
      </c>
      <c r="L83" s="104" t="s">
        <v>1240</v>
      </c>
      <c r="M83" s="65" t="s">
        <v>1277</v>
      </c>
      <c r="N83" s="130" t="str">
        <f>IF(Tabla3[[#This Row],[NRO. DOI]]="","",(IF(Tabla3[[#This Row],[MONEDA]]="Soles",(+VLOOKUP(G83,Tabla1[#All],3,FALSE)),(+VLOOKUP(G83,Tabla6[#All],3,FALSE)))))</f>
        <v>OTRO BANCO</v>
      </c>
      <c r="O83" s="65" t="str">
        <f>IF(Tabla3[[#This Row],[NRO. DOI]]="","",(IF(Tabla3[[#This Row],[MONEDA]]="Soles",(+VLOOKUP(G83,Tabla1[#All],4,FALSE)),(+VLOOKUP(G83,Tabla6[#All],4,FALSE)))))</f>
        <v>00219113478811600951</v>
      </c>
      <c r="P83" s="102" t="s">
        <v>22</v>
      </c>
      <c r="Q83" s="131"/>
      <c r="R83" s="67">
        <v>382.2</v>
      </c>
      <c r="S83" s="91">
        <f>+IF(Tabla3[[#This Row],[MONEDA]]="DOLARES",Tabla3[[#This Row],[MONTO BRUTO]]*Tabla3[[#This Row],[TIPO DE CAMBIO]],0)</f>
        <v>0</v>
      </c>
      <c r="T83" s="91">
        <v>0</v>
      </c>
      <c r="U83" s="91">
        <f>IF(Tabla3[[#This Row],[TIPO DE BIEN O SERVICIO]]="",0,+Tabla3[[#This Row],[MONTO BRUTO]]-Tabla3[[#This Row],[DETRACCION]])</f>
        <v>382.2</v>
      </c>
      <c r="V83" s="130" t="s">
        <v>24</v>
      </c>
      <c r="W83" s="99">
        <v>46209</v>
      </c>
      <c r="X83" s="97">
        <f>IF(Tabla3[[#This Row],[TIPO DE BIEN O SERVICIO]]="",0,+Tabla3[[#This Row],[MONTO BRUTO]]-Tabla3[[#This Row],[DETRACCION]])</f>
        <v>382.2</v>
      </c>
      <c r="Y83" s="97">
        <f>+Tabla3[[#This Row],[MONTO NETO A PAGAR]]-Tabla3[[#This Row],[MONTO PAGADO]]</f>
        <v>0</v>
      </c>
      <c r="Z83" s="97" t="str">
        <f>IF(Tabla3[[#This Row],[MONTO PAGADO]]=0,"",(+IF(Tabla3[[#This Row],[SALDO POR PAGAR]]=0,"TOTAL","PARCIAL")))</f>
        <v>TOTAL</v>
      </c>
    </row>
    <row r="84" spans="1:26" x14ac:dyDescent="0.25">
      <c r="A84" s="65">
        <v>77</v>
      </c>
      <c r="B84" s="98">
        <v>46212</v>
      </c>
      <c r="C84" s="99">
        <v>46212</v>
      </c>
      <c r="D84" s="65" t="s">
        <v>1089</v>
      </c>
      <c r="E84" s="100" t="s">
        <v>1090</v>
      </c>
      <c r="F84" s="128" t="s">
        <v>20</v>
      </c>
      <c r="G84" s="65" t="s">
        <v>231</v>
      </c>
      <c r="H84" s="101" t="str">
        <f>IFERROR(+VLOOKUP(G84,Tabla1[#All],2,FALSE),"-")</f>
        <v>HOTELERA COSTA DEL PACIFICO S.A</v>
      </c>
      <c r="I84" s="93" t="s">
        <v>85</v>
      </c>
      <c r="J84" s="103" t="s">
        <v>230</v>
      </c>
      <c r="L84" s="104" t="s">
        <v>1241</v>
      </c>
      <c r="M84" s="65" t="s">
        <v>1268</v>
      </c>
      <c r="N84" s="130" t="str">
        <f>IF(Tabla3[[#This Row],[NRO. DOI]]="","",(IF(Tabla3[[#This Row],[MONEDA]]="Soles",(+VLOOKUP(G84,Tabla1[#All],3,FALSE)),(+VLOOKUP(G84,Tabla6[#All],3,FALSE)))))</f>
        <v>OTRO BANCO</v>
      </c>
      <c r="O84" s="65" t="str">
        <f>IF(Tabla3[[#This Row],[NRO. DOI]]="","",(IF(Tabla3[[#This Row],[MONEDA]]="Soles",(+VLOOKUP(G84,Tabla1[#All],4,FALSE)),(+VLOOKUP(G84,Tabla6[#All],4,FALSE)))))</f>
        <v>00219300004163718417</v>
      </c>
      <c r="P84" s="102" t="s">
        <v>27</v>
      </c>
      <c r="Q84" s="132">
        <v>3.5</v>
      </c>
      <c r="R84" s="91">
        <v>198.4</v>
      </c>
      <c r="S84" s="91">
        <f>+IF(Tabla3[[#This Row],[MONEDA]]="DOLARES",Tabla3[[#This Row],[MONTO BRUTO]]*Tabla3[[#This Row],[TIPO DE CAMBIO]],0)</f>
        <v>694.4</v>
      </c>
      <c r="T84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84" s="91">
        <f>IF(Tabla3[[#This Row],[TIPO DE BIEN O SERVICIO]]="",0,+Tabla3[[#This Row],[MONTO BRUTO]]-Tabla3[[#This Row],[DETRACCION]])</f>
        <v>198.4</v>
      </c>
      <c r="V84" s="130" t="s">
        <v>24</v>
      </c>
      <c r="W84" s="99">
        <v>46212</v>
      </c>
      <c r="X84" s="97">
        <f>IF(Tabla3[[#This Row],[TIPO DE BIEN O SERVICIO]]="",0,+Tabla3[[#This Row],[MONTO BRUTO]]-Tabla3[[#This Row],[DETRACCION]])</f>
        <v>198.4</v>
      </c>
      <c r="Y84" s="97">
        <f>+Tabla3[[#This Row],[MONTO NETO A PAGAR]]-Tabla3[[#This Row],[MONTO PAGADO]]</f>
        <v>0</v>
      </c>
      <c r="Z84" s="97" t="str">
        <f>IF(Tabla3[[#This Row],[MONTO PAGADO]]=0,"",(+IF(Tabla3[[#This Row],[SALDO POR PAGAR]]=0,"TOTAL","PARCIAL")))</f>
        <v>TOTAL</v>
      </c>
    </row>
    <row r="85" spans="1:26" x14ac:dyDescent="0.25">
      <c r="A85" s="65">
        <v>78</v>
      </c>
      <c r="B85" s="98">
        <v>46209</v>
      </c>
      <c r="C85" s="99">
        <v>46209</v>
      </c>
      <c r="D85" s="65" t="s">
        <v>1089</v>
      </c>
      <c r="E85" s="100" t="s">
        <v>1090</v>
      </c>
      <c r="F85" s="128" t="s">
        <v>46</v>
      </c>
      <c r="G85" s="113" t="s">
        <v>195</v>
      </c>
      <c r="H85" s="101" t="str">
        <f>IFERROR(+VLOOKUP(G85,Tabla1[#All],2,FALSE),"-")</f>
        <v>CARRANZA VALLEJOS EDILBERTO</v>
      </c>
      <c r="I85" s="93" t="s">
        <v>41</v>
      </c>
      <c r="J85" s="103" t="s">
        <v>232</v>
      </c>
      <c r="L85" s="104" t="s">
        <v>1242</v>
      </c>
      <c r="M85" s="65" t="s">
        <v>1268</v>
      </c>
      <c r="N85" s="130" t="str">
        <f>IF(Tabla3[[#This Row],[NRO. DOI]]="","",(IF(Tabla3[[#This Row],[MONEDA]]="Soles",(+VLOOKUP(G85,Tabla1[#All],3,FALSE)),(+VLOOKUP(G85,Tabla6[#All],3,FALSE)))))</f>
        <v>CONTINENTAL</v>
      </c>
      <c r="O85" s="65" t="str">
        <f>IF(Tabla3[[#This Row],[NRO. DOI]]="","",(IF(Tabla3[[#This Row],[MONEDA]]="Soles",(+VLOOKUP(G85,Tabla1[#All],4,FALSE)),(+VLOOKUP(G85,Tabla6[#All],4,FALSE)))))</f>
        <v>00110128000200675599</v>
      </c>
      <c r="P85" s="102" t="s">
        <v>22</v>
      </c>
      <c r="Q85" s="131"/>
      <c r="R85" s="67">
        <v>60</v>
      </c>
      <c r="S85" s="91">
        <f>+IF(Tabla3[[#This Row],[MONEDA]]="DOLARES",Tabla3[[#This Row],[MONTO BRUTO]]*Tabla3[[#This Row],[TIPO DE CAMBIO]],0)</f>
        <v>0</v>
      </c>
      <c r="T85" s="91">
        <f>IF(Tabla3[[#This Row],[MONEDA]]="soles",(IF(Tabla3[[#This Row],[TIPO DE BIEN O SERVICIO]]="","INGRESAR TIPO DE BIEN O SERVICIO",ROUND(IF(Tabla3[[#This Row],[MONTO BRUTO]]&gt;700,(IF(Tabla3[[#This Row],[MONEDA]]="SOLES",+VLOOKUP(Tabla3[[#This Row],[TIPO DE BIEN O SERVICIO]],Tabla2[#All],3,FALSE)*Tabla3[[#This Row],[MONTO BRUTO]],0)),0),0))),(IF(Tabla3[[#This Row],[TIPO DE BIEN O SERVICIO]]="","INGRESAR TIPO DE BIEN O SERVICIO",ROUND(IF(Tabla3[[#This Row],[MONTO BRUTO USD-SOLES]]&gt;700,(IF(Tabla3[[#This Row],[MONEDA]]="DOLARES",+VLOOKUP(Tabla3[[#This Row],[TIPO DE BIEN O SERVICIO]],Tabla2[#All],3,FALSE)*Tabla3[[#This Row],[MONTO BRUTO]],0)),0),0))))</f>
        <v>0</v>
      </c>
      <c r="U85" s="91">
        <f>IF(Tabla3[[#This Row],[TIPO DE BIEN O SERVICIO]]="",0,+Tabla3[[#This Row],[MONTO BRUTO]]-Tabla3[[#This Row],[DETRACCION]])</f>
        <v>60</v>
      </c>
      <c r="V85" s="130" t="s">
        <v>24</v>
      </c>
      <c r="W85" s="99">
        <v>46212</v>
      </c>
      <c r="X85" s="97">
        <f>IF(Tabla3[[#This Row],[TIPO DE BIEN O SERVICIO]]="",0,+Tabla3[[#This Row],[MONTO BRUTO]]-Tabla3[[#This Row],[DETRACCION]])</f>
        <v>60</v>
      </c>
      <c r="Y85" s="97">
        <f>+Tabla3[[#This Row],[MONTO NETO A PAGAR]]-Tabla3[[#This Row],[MONTO PAGADO]]</f>
        <v>0</v>
      </c>
      <c r="Z85" s="97" t="str">
        <f>IF(Tabla3[[#This Row],[MONTO PAGADO]]=0,"",(+IF(Tabla3[[#This Row],[SALDO POR PAGAR]]=0,"TOTAL","PARCIAL")))</f>
        <v>TOTAL</v>
      </c>
    </row>
    <row r="86" spans="1:26" x14ac:dyDescent="0.25">
      <c r="A86" s="65">
        <v>79</v>
      </c>
      <c r="B86" s="98">
        <v>46212</v>
      </c>
      <c r="C86" s="99">
        <v>46206</v>
      </c>
      <c r="D86" s="65" t="s">
        <v>1089</v>
      </c>
      <c r="E86" s="100" t="s">
        <v>1090</v>
      </c>
      <c r="F86" s="128" t="s">
        <v>20</v>
      </c>
      <c r="G86" s="113" t="s">
        <v>234</v>
      </c>
      <c r="H86" s="101" t="str">
        <f>IFERROR(+VLOOKUP(G86,Tabla1[#All],2,FALSE),"-")</f>
        <v>INKA RALLY AUTOMOTRIZ E.I.R.L.</v>
      </c>
      <c r="I86" s="93" t="s">
        <v>85</v>
      </c>
      <c r="J86" s="103" t="s">
        <v>233</v>
      </c>
      <c r="L86" s="104" t="s">
        <v>1243</v>
      </c>
      <c r="M86" s="65" t="s">
        <v>1278</v>
      </c>
      <c r="N86" s="130" t="str">
        <f>IF(Tabla3[[#This Row],[NRO. DOI]]="","",(IF(Tabla3[[#This Row],[MONEDA]]="Soles",(+VLOOKUP(G86,Tabla1[#All],3,FALSE)),(+VLOOKUP(G86,Tabla6[#All],3,FALSE)))))</f>
        <v>OTRO BANCO</v>
      </c>
      <c r="O86" s="65" t="str">
        <f>IF(Tabla3[[#This Row],[NRO. DOI]]="","",(IF(Tabla3[[#This Row],[MONEDA]]="Soles",(+VLOOKUP(G86,Tabla1[#All],4,FALSE)),(+VLOOKUP(G86,Tabla6[#All],4,FALSE)))))</f>
        <v>00219100788578802151</v>
      </c>
      <c r="P86" s="102" t="s">
        <v>22</v>
      </c>
      <c r="Q86" s="131"/>
      <c r="R86" s="67">
        <v>700</v>
      </c>
      <c r="S86" s="91">
        <f>+IF(Tabla3[[#This Row],[MONEDA]]="DOLARES",Tabla3[[#This Row],[MONTO BRUTO]]*Tabla3[[#This Row],[TIPO DE CAMBIO]],0)</f>
        <v>0</v>
      </c>
      <c r="T86" s="91"/>
      <c r="U86" s="91">
        <f>IF(Tabla3[[#This Row],[TIPO DE BIEN O SERVICIO]]="",0,+Tabla3[[#This Row],[MONTO BRUTO]]-Tabla3[[#This Row],[DETRACCION]])</f>
        <v>700</v>
      </c>
      <c r="V86" s="130" t="s">
        <v>24</v>
      </c>
      <c r="W86" s="99">
        <v>46212</v>
      </c>
      <c r="X86" s="97">
        <f>IF(Tabla3[[#This Row],[TIPO DE BIEN O SERVICIO]]="",0,+Tabla3[[#This Row],[MONTO BRUTO]]-Tabla3[[#This Row],[DETRACCION]])</f>
        <v>700</v>
      </c>
      <c r="Y86" s="97">
        <f>+Tabla3[[#This Row],[MONTO NETO A PAGAR]]-Tabla3[[#This Row],[MONTO PAGADO]]</f>
        <v>0</v>
      </c>
      <c r="Z86" s="97" t="str">
        <f>IF(Tabla3[[#This Row],[MONTO PAGADO]]=0,"",(+IF(Tabla3[[#This Row],[SALDO POR PAGAR]]=0,"TOTAL","PARCIAL")))</f>
        <v>TOTAL</v>
      </c>
    </row>
    <row r="87" spans="1:26" x14ac:dyDescent="0.25">
      <c r="A87" s="65">
        <v>80</v>
      </c>
      <c r="B87" s="98">
        <v>46212</v>
      </c>
      <c r="C87" s="99">
        <v>46211</v>
      </c>
      <c r="D87" s="65" t="s">
        <v>1089</v>
      </c>
      <c r="E87" s="100" t="s">
        <v>1090</v>
      </c>
      <c r="F87" s="128" t="s">
        <v>20</v>
      </c>
      <c r="G87" s="113" t="s">
        <v>65</v>
      </c>
      <c r="H87" s="101" t="str">
        <f>IFERROR(+VLOOKUP(G87,Tabla1[#All],2,FALSE),"-")</f>
        <v>IMPRESIONES FUENTES S.A.C.</v>
      </c>
      <c r="I87" s="93" t="s">
        <v>18</v>
      </c>
      <c r="J87" s="103" t="s">
        <v>235</v>
      </c>
      <c r="L87" s="104" t="s">
        <v>236</v>
      </c>
      <c r="M87" s="65" t="s">
        <v>1267</v>
      </c>
      <c r="N87" s="130" t="str">
        <f>IF(Tabla3[[#This Row],[NRO. DOI]]="","",(IF(Tabla3[[#This Row],[MONEDA]]="Soles",(+VLOOKUP(G87,Tabla1[#All],3,FALSE)),(+VLOOKUP(G87,Tabla6[#All],3,FALSE)))))</f>
        <v>OTRO BANCO</v>
      </c>
      <c r="O87" s="65" t="str">
        <f>IF(Tabla3[[#This Row],[NRO. DOI]]="","",(IF(Tabla3[[#This Row],[MONEDA]]="Soles",(+VLOOKUP(G87,Tabla1[#All],4,FALSE)),(+VLOOKUP(G87,Tabla6[#All],4,FALSE)))))</f>
        <v>00320000300443668531</v>
      </c>
      <c r="P87" s="102" t="s">
        <v>22</v>
      </c>
      <c r="Q87" s="131"/>
      <c r="R87" s="67">
        <v>155</v>
      </c>
      <c r="S87" s="91">
        <f>+IF(Tabla3[[#This Row],[MONEDA]]="DOLARES",Tabla3[[#This Row],[MONTO BRUTO]]*Tabla3[[#This Row],[TIPO DE CAMBIO]],0)</f>
        <v>0</v>
      </c>
      <c r="T87" s="91"/>
      <c r="U87" s="91">
        <f>IF(Tabla3[[#This Row],[TIPO DE BIEN O SERVICIO]]="",0,+Tabla3[[#This Row],[MONTO BRUTO]]-Tabla3[[#This Row],[DETRACCION]])</f>
        <v>155</v>
      </c>
      <c r="V87" s="130" t="s">
        <v>24</v>
      </c>
      <c r="W87" s="99">
        <v>46212</v>
      </c>
      <c r="X87" s="97">
        <f>IF(Tabla3[[#This Row],[TIPO DE BIEN O SERVICIO]]="",0,+Tabla3[[#This Row],[MONTO BRUTO]]-Tabla3[[#This Row],[DETRACCION]])</f>
        <v>155</v>
      </c>
      <c r="Y87" s="97">
        <f>+Tabla3[[#This Row],[MONTO NETO A PAGAR]]-Tabla3[[#This Row],[MONTO PAGADO]]</f>
        <v>0</v>
      </c>
      <c r="Z87" s="97" t="str">
        <f>IF(Tabla3[[#This Row],[MONTO PAGADO]]=0,"",(+IF(Tabla3[[#This Row],[SALDO POR PAGAR]]=0,"TOTAL","PARCIAL")))</f>
        <v>TOTAL</v>
      </c>
    </row>
    <row r="88" spans="1:26" x14ac:dyDescent="0.25">
      <c r="A88" s="65">
        <v>81</v>
      </c>
      <c r="B88" s="98">
        <v>46198</v>
      </c>
      <c r="C88" s="99">
        <v>46198</v>
      </c>
      <c r="D88" s="65" t="s">
        <v>1089</v>
      </c>
      <c r="E88" s="100" t="s">
        <v>1090</v>
      </c>
      <c r="F88" s="128" t="s">
        <v>20</v>
      </c>
      <c r="G88" s="101" t="s">
        <v>238</v>
      </c>
      <c r="H88" s="101" t="str">
        <f>IFERROR(+VLOOKUP(G88,Tabla1[#All],2,FALSE),"-")</f>
        <v>KR SECURITY</v>
      </c>
      <c r="I88" s="93" t="s">
        <v>18</v>
      </c>
      <c r="J88" s="105" t="s">
        <v>237</v>
      </c>
      <c r="L88" s="104" t="s">
        <v>239</v>
      </c>
      <c r="M88" s="65" t="s">
        <v>1279</v>
      </c>
      <c r="N88" s="130" t="str">
        <f>IF(Tabla3[[#This Row],[NRO. DOI]]="","",(IF(Tabla3[[#This Row],[MONEDA]]="Soles",(+VLOOKUP(G88,Tabla1[#All],3,FALSE)),(+VLOOKUP(G88,Tabla6[#All],3,FALSE)))))</f>
        <v>CONTINENTAL</v>
      </c>
      <c r="O88" s="65" t="str">
        <f>IF(Tabla3[[#This Row],[NRO. DOI]]="","",(IF(Tabla3[[#This Row],[MONEDA]]="Soles",(+VLOOKUP(G88,Tabla1[#All],4,FALSE)),(+VLOOKUP(G88,Tabla6[#All],4,FALSE)))))</f>
        <v>00110122000100039129</v>
      </c>
      <c r="P88" s="102" t="s">
        <v>22</v>
      </c>
      <c r="Q88" s="131"/>
      <c r="R88" s="67">
        <v>23458.400000000001</v>
      </c>
      <c r="S88" s="91">
        <f>+IF(Tabla3[[#This Row],[MONEDA]]="DOLARES",Tabla3[[#This Row],[MONTO BRUTO]]*Tabla3[[#This Row],[TIPO DE CAMBIO]],0)</f>
        <v>0</v>
      </c>
      <c r="T88" s="91">
        <v>2815</v>
      </c>
      <c r="U88" s="91">
        <f>IF(Tabla3[[#This Row],[TIPO DE BIEN O SERVICIO]]="",0,+Tabla3[[#This Row],[MONTO BRUTO]]-Tabla3[[#This Row],[DETRACCION]])</f>
        <v>20643.400000000001</v>
      </c>
      <c r="V88" s="130" t="s">
        <v>217</v>
      </c>
      <c r="W88" s="99"/>
      <c r="X88" s="97">
        <f>IF(Tabla3[[#This Row],[TIPO DE BIEN O SERVICIO]]="",0,+Tabla3[[#This Row],[MONTO BRUTO]]-Tabla3[[#This Row],[DETRACCION]])</f>
        <v>20643.400000000001</v>
      </c>
      <c r="Y88" s="97">
        <f>+Tabla3[[#This Row],[MONTO NETO A PAGAR]]-Tabla3[[#This Row],[MONTO PAGADO]]</f>
        <v>0</v>
      </c>
      <c r="Z88" s="97" t="str">
        <f>IF(Tabla3[[#This Row],[MONTO PAGADO]]=0,"",(+IF(Tabla3[[#This Row],[SALDO POR PAGAR]]=0,"TOTAL","PARCIAL")))</f>
        <v>TOTAL</v>
      </c>
    </row>
    <row r="89" spans="1:26" x14ac:dyDescent="0.25">
      <c r="A89" s="65">
        <v>82</v>
      </c>
      <c r="B89" s="98"/>
      <c r="C89" s="99"/>
      <c r="F89" s="128"/>
      <c r="H89" s="101" t="str">
        <f>IFERROR(+VLOOKUP(G89,Tabla1[#All],2,FALSE),"-")</f>
        <v>-</v>
      </c>
      <c r="I89" s="93"/>
      <c r="N89" s="130" t="str">
        <f>IF(Tabla3[[#This Row],[NRO. DOI]]="","",(IF(Tabla3[[#This Row],[MONEDA]]="Soles",(+VLOOKUP(G89,Tabla1[#All],3,FALSE)),(+VLOOKUP(G89,Tabla6[#All],3,FALSE)))))</f>
        <v/>
      </c>
      <c r="O89" s="65" t="str">
        <f>IF(Tabla3[[#This Row],[NRO. DOI]]="","",(IF(Tabla3[[#This Row],[MONEDA]]="Soles",(+VLOOKUP(G89,Tabla1[#All],4,FALSE)),(+VLOOKUP(G89,Tabla6[#All],4,FALSE)))))</f>
        <v/>
      </c>
      <c r="Q89" s="131"/>
      <c r="S89" s="91">
        <f>+IF(Tabla3[[#This Row],[MONEDA]]="DOLARES",Tabla3[[#This Row],[MONTO BRUTO]]*Tabla3[[#This Row],[TIPO DE CAMBIO]],0)</f>
        <v>0</v>
      </c>
      <c r="T89" s="91"/>
      <c r="U89" s="91">
        <f>IF(Tabla3[[#This Row],[TIPO DE BIEN O SERVICIO]]="",0,+Tabla3[[#This Row],[MONTO BRUTO]]-Tabla3[[#This Row],[DETRACCION]])</f>
        <v>0</v>
      </c>
      <c r="V89" s="130"/>
      <c r="W89" s="99"/>
      <c r="X89" s="97">
        <f>IF(Tabla3[[#This Row],[TIPO DE BIEN O SERVICIO]]="",0,+Tabla3[[#This Row],[MONTO BRUTO]]-Tabla3[[#This Row],[DETRACCION]])</f>
        <v>0</v>
      </c>
      <c r="Y89" s="97">
        <f>+Tabla3[[#This Row],[MONTO NETO A PAGAR]]-Tabla3[[#This Row],[MONTO PAGADO]]</f>
        <v>0</v>
      </c>
      <c r="Z89" s="97" t="str">
        <f>IF(Tabla3[[#This Row],[MONTO PAGADO]]=0,"",(+IF(Tabla3[[#This Row],[SALDO POR PAGAR]]=0,"TOTAL","PARCIAL")))</f>
        <v/>
      </c>
    </row>
    <row r="90" spans="1:26" x14ac:dyDescent="0.25">
      <c r="A90" s="65">
        <v>83</v>
      </c>
      <c r="B90" s="98"/>
      <c r="C90" s="99"/>
      <c r="F90" s="128"/>
      <c r="H90" s="101" t="str">
        <f>IFERROR(+VLOOKUP(G90,Tabla1[#All],2,FALSE),"-")</f>
        <v>-</v>
      </c>
      <c r="I90" s="93"/>
      <c r="N90" s="130" t="str">
        <f>IF(Tabla3[[#This Row],[NRO. DOI]]="","",(IF(Tabla3[[#This Row],[MONEDA]]="Soles",(+VLOOKUP(G90,Tabla1[#All],3,FALSE)),(+VLOOKUP(G90,Tabla6[#All],3,FALSE)))))</f>
        <v/>
      </c>
      <c r="O90" s="65" t="str">
        <f>IF(Tabla3[[#This Row],[NRO. DOI]]="","",(IF(Tabla3[[#This Row],[MONEDA]]="Soles",(+VLOOKUP(G90,Tabla1[#All],4,FALSE)),(+VLOOKUP(G90,Tabla6[#All],4,FALSE)))))</f>
        <v/>
      </c>
      <c r="Q90" s="131"/>
      <c r="S90" s="91">
        <f>+IF(Tabla3[[#This Row],[MONEDA]]="DOLARES",Tabla3[[#This Row],[MONTO BRUTO]]*Tabla3[[#This Row],[TIPO DE CAMBIO]],0)</f>
        <v>0</v>
      </c>
      <c r="T90" s="91"/>
      <c r="U90" s="91">
        <f>IF(Tabla3[[#This Row],[TIPO DE BIEN O SERVICIO]]="",0,+Tabla3[[#This Row],[MONTO BRUTO]]-Tabla3[[#This Row],[DETRACCION]])</f>
        <v>0</v>
      </c>
      <c r="V90" s="130"/>
      <c r="W90" s="99"/>
      <c r="X90" s="97">
        <f>IF(Tabla3[[#This Row],[TIPO DE BIEN O SERVICIO]]="",0,+Tabla3[[#This Row],[MONTO BRUTO]]-Tabla3[[#This Row],[DETRACCION]])</f>
        <v>0</v>
      </c>
      <c r="Y90" s="97">
        <f>+Tabla3[[#This Row],[MONTO NETO A PAGAR]]-Tabla3[[#This Row],[MONTO PAGADO]]</f>
        <v>0</v>
      </c>
      <c r="Z90" s="97" t="str">
        <f>IF(Tabla3[[#This Row],[MONTO PAGADO]]=0,"",(+IF(Tabla3[[#This Row],[SALDO POR PAGAR]]=0,"TOTAL","PARCIAL")))</f>
        <v/>
      </c>
    </row>
    <row r="91" spans="1:26" x14ac:dyDescent="0.25">
      <c r="A91" s="65">
        <v>84</v>
      </c>
      <c r="B91" s="98"/>
      <c r="C91" s="99"/>
      <c r="F91" s="128"/>
      <c r="H91" s="101" t="str">
        <f>IFERROR(+VLOOKUP(G91,Tabla1[#All],2,FALSE),"-")</f>
        <v>-</v>
      </c>
      <c r="I91" s="93"/>
      <c r="N91" s="130" t="str">
        <f>IF(Tabla3[[#This Row],[NRO. DOI]]="","",(IF(Tabla3[[#This Row],[MONEDA]]="Soles",(+VLOOKUP(G91,Tabla1[#All],3,FALSE)),(+VLOOKUP(G91,Tabla6[#All],3,FALSE)))))</f>
        <v/>
      </c>
      <c r="O91" s="65" t="str">
        <f>IF(Tabla3[[#This Row],[NRO. DOI]]="","",(IF(Tabla3[[#This Row],[MONEDA]]="Soles",(+VLOOKUP(G91,Tabla1[#All],4,FALSE)),(+VLOOKUP(G91,Tabla6[#All],4,FALSE)))))</f>
        <v/>
      </c>
      <c r="Q91" s="131"/>
      <c r="S91" s="91">
        <f>+IF(Tabla3[[#This Row],[MONEDA]]="DOLARES",Tabla3[[#This Row],[MONTO BRUTO]]*Tabla3[[#This Row],[TIPO DE CAMBIO]],0)</f>
        <v>0</v>
      </c>
      <c r="T91" s="91"/>
      <c r="U91" s="91">
        <f>IF(Tabla3[[#This Row],[TIPO DE BIEN O SERVICIO]]="",0,+Tabla3[[#This Row],[MONTO BRUTO]]-Tabla3[[#This Row],[DETRACCION]])</f>
        <v>0</v>
      </c>
      <c r="V91" s="130"/>
      <c r="W91" s="99"/>
      <c r="X91" s="97">
        <f>IF(Tabla3[[#This Row],[TIPO DE BIEN O SERVICIO]]="",0,+Tabla3[[#This Row],[MONTO BRUTO]]-Tabla3[[#This Row],[DETRACCION]])</f>
        <v>0</v>
      </c>
      <c r="Y91" s="97">
        <f>+Tabla3[[#This Row],[MONTO NETO A PAGAR]]-Tabla3[[#This Row],[MONTO PAGADO]]</f>
        <v>0</v>
      </c>
      <c r="Z91" s="97" t="str">
        <f>IF(Tabla3[[#This Row],[MONTO PAGADO]]=0,"",(+IF(Tabla3[[#This Row],[SALDO POR PAGAR]]=0,"TOTAL","PARCIAL")))</f>
        <v/>
      </c>
    </row>
    <row r="92" spans="1:26" x14ac:dyDescent="0.25">
      <c r="A92" s="65">
        <v>85</v>
      </c>
      <c r="B92" s="98"/>
      <c r="C92" s="99"/>
      <c r="F92" s="128"/>
      <c r="H92" s="101" t="str">
        <f>IFERROR(+VLOOKUP(G92,Tabla1[#All],2,FALSE),"-")</f>
        <v>-</v>
      </c>
      <c r="I92" s="93"/>
      <c r="N92" s="130" t="str">
        <f>IF(Tabla3[[#This Row],[NRO. DOI]]="","",(IF(Tabla3[[#This Row],[MONEDA]]="Soles",(+VLOOKUP(G92,Tabla1[#All],3,FALSE)),(+VLOOKUP(G92,Tabla6[#All],3,FALSE)))))</f>
        <v/>
      </c>
      <c r="O92" s="65" t="str">
        <f>IF(Tabla3[[#This Row],[NRO. DOI]]="","",(IF(Tabla3[[#This Row],[MONEDA]]="Soles",(+VLOOKUP(G92,Tabla1[#All],4,FALSE)),(+VLOOKUP(G92,Tabla6[#All],4,FALSE)))))</f>
        <v/>
      </c>
      <c r="Q92" s="131"/>
      <c r="S92" s="91">
        <f>+IF(Tabla3[[#This Row],[MONEDA]]="DOLARES",Tabla3[[#This Row],[MONTO BRUTO]]*Tabla3[[#This Row],[TIPO DE CAMBIO]],0)</f>
        <v>0</v>
      </c>
      <c r="T92" s="91"/>
      <c r="U92" s="91">
        <f>IF(Tabla3[[#This Row],[TIPO DE BIEN O SERVICIO]]="",0,+Tabla3[[#This Row],[MONTO BRUTO]]-Tabla3[[#This Row],[DETRACCION]])</f>
        <v>0</v>
      </c>
      <c r="V92" s="130"/>
      <c r="W92" s="99"/>
      <c r="X92" s="97">
        <f>IF(Tabla3[[#This Row],[TIPO DE BIEN O SERVICIO]]="",0,+Tabla3[[#This Row],[MONTO BRUTO]]-Tabla3[[#This Row],[DETRACCION]])</f>
        <v>0</v>
      </c>
      <c r="Y92" s="97">
        <f>+Tabla3[[#This Row],[MONTO NETO A PAGAR]]-Tabla3[[#This Row],[MONTO PAGADO]]</f>
        <v>0</v>
      </c>
      <c r="Z92" s="97" t="str">
        <f>IF(Tabla3[[#This Row],[MONTO PAGADO]]=0,"",(+IF(Tabla3[[#This Row],[SALDO POR PAGAR]]=0,"TOTAL","PARCIAL")))</f>
        <v/>
      </c>
    </row>
    <row r="93" spans="1:26" x14ac:dyDescent="0.25">
      <c r="B93" s="98"/>
      <c r="C93" s="99"/>
      <c r="F93" s="128"/>
      <c r="H93" s="101" t="str">
        <f>IFERROR(+VLOOKUP(G93,Tabla1[#All],2,FALSE),"-")</f>
        <v>-</v>
      </c>
      <c r="I93" s="93"/>
      <c r="N93" s="130" t="str">
        <f>IF(Tabla3[[#This Row],[NRO. DOI]]="","",(IF(Tabla3[[#This Row],[MONEDA]]="Soles",(+VLOOKUP(G93,Tabla1[#All],3,FALSE)),(+VLOOKUP(G93,Tabla6[#All],3,FALSE)))))</f>
        <v/>
      </c>
      <c r="O93" s="65" t="str">
        <f>IF(Tabla3[[#This Row],[NRO. DOI]]="","",(IF(Tabla3[[#This Row],[MONEDA]]="Soles",(+VLOOKUP(G93,Tabla1[#All],4,FALSE)),(+VLOOKUP(G93,Tabla6[#All],4,FALSE)))))</f>
        <v/>
      </c>
      <c r="Q93" s="131"/>
      <c r="S93" s="91">
        <f>+IF(Tabla3[[#This Row],[MONEDA]]="DOLARES",Tabla3[[#This Row],[MONTO BRUTO]]*Tabla3[[#This Row],[TIPO DE CAMBIO]],0)</f>
        <v>0</v>
      </c>
      <c r="T93" s="91"/>
      <c r="U93" s="91">
        <f>IF(Tabla3[[#This Row],[TIPO DE BIEN O SERVICIO]]="",0,+Tabla3[[#This Row],[MONTO BRUTO]]-Tabla3[[#This Row],[DETRACCION]])</f>
        <v>0</v>
      </c>
      <c r="V93" s="130"/>
      <c r="W93" s="99"/>
      <c r="X93" s="97">
        <f>IF(Tabla3[[#This Row],[TIPO DE BIEN O SERVICIO]]="",0,+Tabla3[[#This Row],[MONTO BRUTO]]-Tabla3[[#This Row],[DETRACCION]])</f>
        <v>0</v>
      </c>
      <c r="Y93" s="97">
        <f>+Tabla3[[#This Row],[MONTO NETO A PAGAR]]-Tabla3[[#This Row],[MONTO PAGADO]]</f>
        <v>0</v>
      </c>
      <c r="Z93" s="97" t="str">
        <f>IF(Tabla3[[#This Row],[MONTO PAGADO]]=0,"",(+IF(Tabla3[[#This Row],[SALDO POR PAGAR]]=0,"TOTAL","PARCIAL")))</f>
        <v/>
      </c>
    </row>
    <row r="94" spans="1:26" x14ac:dyDescent="0.25">
      <c r="B94" s="98"/>
      <c r="C94" s="99"/>
      <c r="F94" s="128"/>
      <c r="H94" s="101" t="str">
        <f>IFERROR(+VLOOKUP(G94,Tabla1[#All],2,FALSE),"-")</f>
        <v>-</v>
      </c>
      <c r="I94" s="93"/>
      <c r="N94" s="130" t="str">
        <f>IF(Tabla3[[#This Row],[NRO. DOI]]="","",(IF(Tabla3[[#This Row],[MONEDA]]="Soles",(+VLOOKUP(G94,Tabla1[#All],3,FALSE)),(+VLOOKUP(G94,Tabla6[#All],3,FALSE)))))</f>
        <v/>
      </c>
      <c r="O94" s="65" t="str">
        <f>IF(Tabla3[[#This Row],[NRO. DOI]]="","",(IF(Tabla3[[#This Row],[MONEDA]]="Soles",(+VLOOKUP(G94,Tabla1[#All],4,FALSE)),(+VLOOKUP(G94,Tabla6[#All],4,FALSE)))))</f>
        <v/>
      </c>
      <c r="Q94" s="131"/>
      <c r="S94" s="91">
        <f>+IF(Tabla3[[#This Row],[MONEDA]]="DOLARES",Tabla3[[#This Row],[MONTO BRUTO]]*Tabla3[[#This Row],[TIPO DE CAMBIO]],0)</f>
        <v>0</v>
      </c>
      <c r="T94" s="91"/>
      <c r="U94" s="91">
        <f>IF(Tabla3[[#This Row],[TIPO DE BIEN O SERVICIO]]="",0,+Tabla3[[#This Row],[MONTO BRUTO]]-Tabla3[[#This Row],[DETRACCION]])</f>
        <v>0</v>
      </c>
      <c r="V94" s="130"/>
      <c r="W94" s="99"/>
      <c r="X94" s="97">
        <f>IF(Tabla3[[#This Row],[TIPO DE BIEN O SERVICIO]]="",0,+Tabla3[[#This Row],[MONTO BRUTO]]-Tabla3[[#This Row],[DETRACCION]])</f>
        <v>0</v>
      </c>
      <c r="Y94" s="97">
        <f>+Tabla3[[#This Row],[MONTO NETO A PAGAR]]-Tabla3[[#This Row],[MONTO PAGADO]]</f>
        <v>0</v>
      </c>
      <c r="Z94" s="97" t="str">
        <f>IF(Tabla3[[#This Row],[MONTO PAGADO]]=0,"",(+IF(Tabla3[[#This Row],[SALDO POR PAGAR]]=0,"TOTAL","PARCIAL")))</f>
        <v/>
      </c>
    </row>
    <row r="95" spans="1:26" x14ac:dyDescent="0.25">
      <c r="B95" s="98"/>
      <c r="C95" s="99"/>
      <c r="F95" s="128"/>
      <c r="H95" s="101" t="str">
        <f>IFERROR(+VLOOKUP(G95,Tabla1[#All],2,FALSE),"-")</f>
        <v>-</v>
      </c>
      <c r="I95" s="93"/>
      <c r="N95" s="130" t="str">
        <f>IF(Tabla3[[#This Row],[NRO. DOI]]="","",(IF(Tabla3[[#This Row],[MONEDA]]="Soles",(+VLOOKUP(G95,Tabla1[#All],3,FALSE)),(+VLOOKUP(G95,Tabla6[#All],3,FALSE)))))</f>
        <v/>
      </c>
      <c r="O95" s="65" t="str">
        <f>IF(Tabla3[[#This Row],[NRO. DOI]]="","",(IF(Tabla3[[#This Row],[MONEDA]]="Soles",(+VLOOKUP(G95,Tabla1[#All],4,FALSE)),(+VLOOKUP(G95,Tabla6[#All],4,FALSE)))))</f>
        <v/>
      </c>
      <c r="Q95" s="131"/>
      <c r="S95" s="91">
        <f>+IF(Tabla3[[#This Row],[MONEDA]]="DOLARES",Tabla3[[#This Row],[MONTO BRUTO]]*Tabla3[[#This Row],[TIPO DE CAMBIO]],0)</f>
        <v>0</v>
      </c>
      <c r="T95" s="91"/>
      <c r="U95" s="91">
        <f>IF(Tabla3[[#This Row],[TIPO DE BIEN O SERVICIO]]="",0,+Tabla3[[#This Row],[MONTO BRUTO]]-Tabla3[[#This Row],[DETRACCION]])</f>
        <v>0</v>
      </c>
      <c r="V95" s="130"/>
      <c r="W95" s="99"/>
      <c r="X95" s="97">
        <f>IF(Tabla3[[#This Row],[TIPO DE BIEN O SERVICIO]]="",0,+Tabla3[[#This Row],[MONTO BRUTO]]-Tabla3[[#This Row],[DETRACCION]])</f>
        <v>0</v>
      </c>
      <c r="Y95" s="97">
        <f>+Tabla3[[#This Row],[MONTO NETO A PAGAR]]-Tabla3[[#This Row],[MONTO PAGADO]]</f>
        <v>0</v>
      </c>
      <c r="Z95" s="97" t="str">
        <f>IF(Tabla3[[#This Row],[MONTO PAGADO]]=0,"",(+IF(Tabla3[[#This Row],[SALDO POR PAGAR]]=0,"TOTAL","PARCIAL")))</f>
        <v/>
      </c>
    </row>
    <row r="96" spans="1:26" x14ac:dyDescent="0.25">
      <c r="B96" s="98"/>
      <c r="C96" s="99"/>
      <c r="F96" s="128"/>
      <c r="H96" s="101" t="str">
        <f>IFERROR(+VLOOKUP(G96,Tabla1[#All],2,FALSE),"-")</f>
        <v>-</v>
      </c>
      <c r="I96" s="93"/>
      <c r="N96" s="130" t="str">
        <f>IF(Tabla3[[#This Row],[NRO. DOI]]="","",(IF(Tabla3[[#This Row],[MONEDA]]="Soles",(+VLOOKUP(G96,Tabla1[#All],3,FALSE)),(+VLOOKUP(G96,Tabla6[#All],3,FALSE)))))</f>
        <v/>
      </c>
      <c r="O96" s="65" t="str">
        <f>IF(Tabla3[[#This Row],[NRO. DOI]]="","",(IF(Tabla3[[#This Row],[MONEDA]]="Soles",(+VLOOKUP(G96,Tabla1[#All],4,FALSE)),(+VLOOKUP(G96,Tabla6[#All],4,FALSE)))))</f>
        <v/>
      </c>
      <c r="Q96" s="131"/>
      <c r="S96" s="91">
        <f>+IF(Tabla3[[#This Row],[MONEDA]]="DOLARES",Tabla3[[#This Row],[MONTO BRUTO]]*Tabla3[[#This Row],[TIPO DE CAMBIO]],0)</f>
        <v>0</v>
      </c>
      <c r="T96" s="91"/>
      <c r="U96" s="91">
        <f>IF(Tabla3[[#This Row],[TIPO DE BIEN O SERVICIO]]="",0,+Tabla3[[#This Row],[MONTO BRUTO]]-Tabla3[[#This Row],[DETRACCION]])</f>
        <v>0</v>
      </c>
      <c r="V96" s="130"/>
      <c r="W96" s="99"/>
      <c r="X96" s="97">
        <f>IF(Tabla3[[#This Row],[TIPO DE BIEN O SERVICIO]]="",0,+Tabla3[[#This Row],[MONTO BRUTO]]-Tabla3[[#This Row],[DETRACCION]])</f>
        <v>0</v>
      </c>
      <c r="Y96" s="97">
        <f>+Tabla3[[#This Row],[MONTO NETO A PAGAR]]-Tabla3[[#This Row],[MONTO PAGADO]]</f>
        <v>0</v>
      </c>
      <c r="Z96" s="97" t="str">
        <f>IF(Tabla3[[#This Row],[MONTO PAGADO]]=0,"",(+IF(Tabla3[[#This Row],[SALDO POR PAGAR]]=0,"TOTAL","PARCIAL")))</f>
        <v/>
      </c>
    </row>
    <row r="97" spans="2:26" x14ac:dyDescent="0.25">
      <c r="B97" s="98"/>
      <c r="C97" s="99"/>
      <c r="F97" s="128"/>
      <c r="H97" s="101" t="str">
        <f>IFERROR(+VLOOKUP(G97,Tabla1[#All],2,FALSE),"-")</f>
        <v>-</v>
      </c>
      <c r="I97" s="93"/>
      <c r="N97" s="130" t="str">
        <f>IF(Tabla3[[#This Row],[NRO. DOI]]="","",(IF(Tabla3[[#This Row],[MONEDA]]="Soles",(+VLOOKUP(G97,Tabla1[#All],3,FALSE)),(+VLOOKUP(G97,Tabla6[#All],3,FALSE)))))</f>
        <v/>
      </c>
      <c r="O97" s="65" t="str">
        <f>IF(Tabla3[[#This Row],[NRO. DOI]]="","",(IF(Tabla3[[#This Row],[MONEDA]]="Soles",(+VLOOKUP(G97,Tabla1[#All],4,FALSE)),(+VLOOKUP(G97,Tabla6[#All],4,FALSE)))))</f>
        <v/>
      </c>
      <c r="Q97" s="131"/>
      <c r="S97" s="91">
        <f>+IF(Tabla3[[#This Row],[MONEDA]]="DOLARES",Tabla3[[#This Row],[MONTO BRUTO]]*Tabla3[[#This Row],[TIPO DE CAMBIO]],0)</f>
        <v>0</v>
      </c>
      <c r="T97" s="91"/>
      <c r="U97" s="91">
        <f>IF(Tabla3[[#This Row],[TIPO DE BIEN O SERVICIO]]="",0,+Tabla3[[#This Row],[MONTO BRUTO]]-Tabla3[[#This Row],[DETRACCION]])</f>
        <v>0</v>
      </c>
      <c r="V97" s="130"/>
      <c r="W97" s="99"/>
      <c r="X97" s="97">
        <f>IF(Tabla3[[#This Row],[TIPO DE BIEN O SERVICIO]]="",0,+Tabla3[[#This Row],[MONTO BRUTO]]-Tabla3[[#This Row],[DETRACCION]])</f>
        <v>0</v>
      </c>
      <c r="Y97" s="97">
        <f>+Tabla3[[#This Row],[MONTO NETO A PAGAR]]-Tabla3[[#This Row],[MONTO PAGADO]]</f>
        <v>0</v>
      </c>
      <c r="Z97" s="97" t="str">
        <f>IF(Tabla3[[#This Row],[MONTO PAGADO]]=0,"",(+IF(Tabla3[[#This Row],[SALDO POR PAGAR]]=0,"TOTAL","PARCIAL")))</f>
        <v/>
      </c>
    </row>
    <row r="98" spans="2:26" x14ac:dyDescent="0.25">
      <c r="B98" s="98"/>
      <c r="C98" s="99"/>
      <c r="F98" s="128"/>
      <c r="H98" s="101" t="str">
        <f>IFERROR(+VLOOKUP(G98,Tabla1[#All],2,FALSE),"-")</f>
        <v>-</v>
      </c>
      <c r="I98" s="93"/>
      <c r="N98" s="130" t="str">
        <f>IF(Tabla3[[#This Row],[NRO. DOI]]="","",(IF(Tabla3[[#This Row],[MONEDA]]="Soles",(+VLOOKUP(G98,Tabla1[#All],3,FALSE)),(+VLOOKUP(G98,Tabla6[#All],3,FALSE)))))</f>
        <v/>
      </c>
      <c r="O98" s="65" t="str">
        <f>IF(Tabla3[[#This Row],[NRO. DOI]]="","",(IF(Tabla3[[#This Row],[MONEDA]]="Soles",(+VLOOKUP(G98,Tabla1[#All],4,FALSE)),(+VLOOKUP(G98,Tabla6[#All],4,FALSE)))))</f>
        <v/>
      </c>
      <c r="Q98" s="131"/>
      <c r="S98" s="91">
        <f>+IF(Tabla3[[#This Row],[MONEDA]]="DOLARES",Tabla3[[#This Row],[MONTO BRUTO]]*Tabla3[[#This Row],[TIPO DE CAMBIO]],0)</f>
        <v>0</v>
      </c>
      <c r="T98" s="91"/>
      <c r="U98" s="91">
        <f>IF(Tabla3[[#This Row],[TIPO DE BIEN O SERVICIO]]="",0,+Tabla3[[#This Row],[MONTO BRUTO]]-Tabla3[[#This Row],[DETRACCION]])</f>
        <v>0</v>
      </c>
      <c r="V98" s="130"/>
      <c r="W98" s="99"/>
      <c r="X98" s="97">
        <f>IF(Tabla3[[#This Row],[TIPO DE BIEN O SERVICIO]]="",0,+Tabla3[[#This Row],[MONTO BRUTO]]-Tabla3[[#This Row],[DETRACCION]])</f>
        <v>0</v>
      </c>
      <c r="Y98" s="97">
        <f>+Tabla3[[#This Row],[MONTO NETO A PAGAR]]-Tabla3[[#This Row],[MONTO PAGADO]]</f>
        <v>0</v>
      </c>
      <c r="Z98" s="97" t="str">
        <f>IF(Tabla3[[#This Row],[MONTO PAGADO]]=0,"",(+IF(Tabla3[[#This Row],[SALDO POR PAGAR]]=0,"TOTAL","PARCIAL")))</f>
        <v/>
      </c>
    </row>
    <row r="99" spans="2:26" x14ac:dyDescent="0.25">
      <c r="B99" s="98"/>
      <c r="C99" s="99"/>
      <c r="F99" s="128"/>
      <c r="H99" s="101" t="str">
        <f>IFERROR(+VLOOKUP(G99,Tabla1[#All],2,FALSE),"-")</f>
        <v>-</v>
      </c>
      <c r="I99" s="93"/>
      <c r="N99" s="130" t="str">
        <f>IF(Tabla3[[#This Row],[NRO. DOI]]="","",(IF(Tabla3[[#This Row],[MONEDA]]="Soles",(+VLOOKUP(G99,Tabla1[#All],3,FALSE)),(+VLOOKUP(G99,Tabla6[#All],3,FALSE)))))</f>
        <v/>
      </c>
      <c r="O99" s="65" t="str">
        <f>IF(Tabla3[[#This Row],[NRO. DOI]]="","",(IF(Tabla3[[#This Row],[MONEDA]]="Soles",(+VLOOKUP(G99,Tabla1[#All],4,FALSE)),(+VLOOKUP(G99,Tabla6[#All],4,FALSE)))))</f>
        <v/>
      </c>
      <c r="Q99" s="131"/>
      <c r="S99" s="91">
        <f>+IF(Tabla3[[#This Row],[MONEDA]]="DOLARES",Tabla3[[#This Row],[MONTO BRUTO]]*Tabla3[[#This Row],[TIPO DE CAMBIO]],0)</f>
        <v>0</v>
      </c>
      <c r="T99" s="91"/>
      <c r="U99" s="91">
        <f>IF(Tabla3[[#This Row],[TIPO DE BIEN O SERVICIO]]="",0,+Tabla3[[#This Row],[MONTO BRUTO]]-Tabla3[[#This Row],[DETRACCION]])</f>
        <v>0</v>
      </c>
      <c r="V99" s="130"/>
      <c r="W99" s="99"/>
      <c r="X99" s="97">
        <f>IF(Tabla3[[#This Row],[TIPO DE BIEN O SERVICIO]]="",0,+Tabla3[[#This Row],[MONTO BRUTO]]-Tabla3[[#This Row],[DETRACCION]])</f>
        <v>0</v>
      </c>
      <c r="Y99" s="97">
        <f>+Tabla3[[#This Row],[MONTO NETO A PAGAR]]-Tabla3[[#This Row],[MONTO PAGADO]]</f>
        <v>0</v>
      </c>
      <c r="Z99" s="97" t="str">
        <f>IF(Tabla3[[#This Row],[MONTO PAGADO]]=0,"",(+IF(Tabla3[[#This Row],[SALDO POR PAGAR]]=0,"TOTAL","PARCIAL")))</f>
        <v/>
      </c>
    </row>
    <row r="100" spans="2:26" x14ac:dyDescent="0.25">
      <c r="B100" s="98"/>
      <c r="C100" s="99"/>
      <c r="F100" s="87"/>
      <c r="H100" s="101"/>
      <c r="I100" s="93"/>
      <c r="M100" s="101"/>
      <c r="O100" s="65"/>
      <c r="W100" s="99"/>
      <c r="X100" s="97"/>
      <c r="Y100" s="97"/>
    </row>
    <row r="101" spans="2:26" x14ac:dyDescent="0.25">
      <c r="B101" s="98"/>
      <c r="C101" s="99"/>
      <c r="F101" s="87"/>
      <c r="H101" s="101"/>
      <c r="I101" s="93"/>
      <c r="M101" s="101"/>
      <c r="O101" s="65"/>
      <c r="W101" s="99"/>
      <c r="X101" s="97"/>
      <c r="Y101" s="97"/>
    </row>
    <row r="102" spans="2:26" x14ac:dyDescent="0.25">
      <c r="B102" s="98"/>
      <c r="C102" s="99"/>
      <c r="F102" s="87"/>
      <c r="H102" s="101"/>
      <c r="I102" s="93"/>
      <c r="M102" s="101"/>
      <c r="O102" s="65"/>
      <c r="W102" s="99"/>
      <c r="X102" s="97"/>
      <c r="Y102" s="97"/>
    </row>
    <row r="103" spans="2:26" x14ac:dyDescent="0.25">
      <c r="B103" s="98"/>
      <c r="C103" s="99"/>
      <c r="F103" s="87"/>
      <c r="H103" s="101"/>
      <c r="I103" s="93"/>
      <c r="M103" s="101"/>
      <c r="O103" s="65"/>
      <c r="W103" s="99"/>
      <c r="X103" s="97"/>
      <c r="Y103" s="97"/>
    </row>
    <row r="104" spans="2:26" x14ac:dyDescent="0.25">
      <c r="B104" s="98"/>
      <c r="C104" s="99"/>
      <c r="F104" s="87"/>
      <c r="H104" s="101"/>
      <c r="I104" s="93"/>
      <c r="M104" s="101"/>
      <c r="O104" s="65"/>
      <c r="W104" s="99"/>
      <c r="X104" s="97"/>
      <c r="Y104" s="97"/>
    </row>
    <row r="105" spans="2:26" x14ac:dyDescent="0.25">
      <c r="B105" s="98"/>
      <c r="C105" s="99"/>
      <c r="F105" s="87"/>
      <c r="H105" s="101"/>
      <c r="I105" s="93"/>
      <c r="M105" s="101"/>
      <c r="O105" s="65"/>
      <c r="W105" s="99"/>
      <c r="X105" s="97"/>
      <c r="Y105" s="97"/>
    </row>
    <row r="106" spans="2:26" x14ac:dyDescent="0.25">
      <c r="B106" s="98"/>
      <c r="C106" s="99"/>
      <c r="F106" s="87"/>
      <c r="H106" s="101"/>
      <c r="I106" s="93"/>
      <c r="M106" s="101"/>
      <c r="O106" s="65"/>
      <c r="W106" s="99"/>
      <c r="X106" s="97"/>
      <c r="Y106" s="97"/>
    </row>
  </sheetData>
  <autoFilter ref="J114" xr:uid="{ADD08733-9156-4904-9888-C33DC28A2319}"/>
  <phoneticPr fontId="10" type="noConversion"/>
  <dataValidations count="1">
    <dataValidation type="decimal" allowBlank="1" showInputMessage="1" showErrorMessage="1" sqref="Q8:Q99" xr:uid="{A7FE7E09-59D0-458F-9321-D332BECFE39E}">
      <formula1>3</formula1>
      <formula2>5</formula2>
    </dataValidation>
  </dataValidations>
  <hyperlinks>
    <hyperlink ref="K17" r:id="rId1" display="https://umaedu-my.sharepoint.com/:b:/g/personal/recepciondefacturas_uma_edu_pe/IQDOi3X9SDHBTZdeyeIJ43JfAUFjeUiQBKhRKaMlDIzt92Q?e=7cJonv" xr:uid="{18BEA643-C37B-4C60-885E-4999FDA96442}"/>
    <hyperlink ref="K18" r:id="rId2" display="https://umaedu-my.sharepoint.com/:b:/g/personal/recepciondefacturas_uma_edu_pe/IQARE77We6SzQKdBbl2Z2c8WAZlURXB--rdgP9Ko_KJu_YQ?e=6s9LAe" xr:uid="{906150CD-055D-445D-897B-2086A384B8C3}"/>
    <hyperlink ref="K19" r:id="rId3" display="https://umaedu-my.sharepoint.com/:b:/g/personal/recepciondefacturas_uma_edu_pe/IQBaQNL9Z45ITJyngeFThhrVAXihzwLF-H3mdpYDf51nK2I?e=cex1w8" xr:uid="{E47550B1-E83A-44FF-B582-2E28903CE40A}"/>
    <hyperlink ref="K20" r:id="rId4" display="https://umaedu-my.sharepoint.com/:b:/g/personal/recepciondefacturas_uma_edu_pe/IQCys8iSy-dwQJPhbIy2rSpkASaoiSAJZCMvcMmFYcCMCZg?e=epqCM9" xr:uid="{9A7DB973-13D7-48CA-BF60-834F0A3BDD57}"/>
    <hyperlink ref="K41" r:id="rId5" display="https://umaedu-my.sharepoint.com/:b:/g/personal/recepciondefacturas_uma_edu_pe/IQComXfwQua4R4dyVDmY3a3UATjJwGPlUtqISxrV5Xe-2cA?e=W0iJyy" xr:uid="{ADB85408-BC61-48AD-B3D4-2FB40E57034A}"/>
    <hyperlink ref="K27" r:id="rId6" display="https://umaedu-my.sharepoint.com/:b:/g/personal/recepciondefacturas_uma_edu_pe/IQCx8YwdSWboR4jHSD6S5HprAb5ZVf_lvhoiQbFOTFNIKbU?e=ES1EBY" xr:uid="{71B955AE-7812-4ECD-8C8E-34A0697D16CB}"/>
    <hyperlink ref="K34" r:id="rId7" display="https://umaedu-my.sharepoint.com/:b:/g/personal/recepciondefacturas_uma_edu_pe/IQAtnW2_OJ7QQasYJCnZX6s_AWEmjHWtGzZ9ngUBXCJ_uM8?e=I4Ebov" xr:uid="{46C6FFB9-2222-4A89-847A-40F2B155192E}"/>
    <hyperlink ref="K31" r:id="rId8" display="https://umaedu-my.sharepoint.com/:b:/g/personal/recepciondefacturas_uma_edu_pe/IQA2c1eay3xnQ54RcNNSzAEPAdM71LeCdWqEGcO6bIceLtM?e=Z9XC9O" xr:uid="{B4C640D5-C1C7-4016-90A1-38B7C17DA920}"/>
    <hyperlink ref="K40" r:id="rId9" display="https://umaedu-my.sharepoint.com/:b:/g/personal/recepciondefacturas_uma_edu_pe/IQBJj5MFvx-1QIxj_LtvXlkIAdyNgm8rNszuEclTXoLU2fI?e=UYZVq1" xr:uid="{B72E4701-FF5D-4645-9BDA-68DE7A03B33B}"/>
    <hyperlink ref="K25" r:id="rId10" display="https://umaedu-my.sharepoint.com/:b:/g/personal/recepciondefacturas_uma_edu_pe/IQB4iMeH-CPdQpyeQg4-3jPmAWMQIUKQurdfDntW0kKrWxQ?e=izVbHL" xr:uid="{E4F4E549-D7D3-42F9-AAA2-423A83750756}"/>
    <hyperlink ref="K28" r:id="rId11" display="https://umaedu-my.sharepoint.com/:b:/g/personal/recepciondefacturas_uma_edu_pe/IQALjKqKJB2ERqaLHPg-NNzQAbEZRdZHqXvIz_-7s-WKvss?e=cF610i" xr:uid="{F82E6A71-A1DD-4270-A9E4-28226E7A088F}"/>
    <hyperlink ref="K21" r:id="rId12" display="https://umaedu-my.sharepoint.com/:b:/g/personal/recepciondefacturas_uma_edu_pe/IQArUU4Z3hjkR4L13hfCIDBXAbq05pA3AmswwsRfjjAjg6Y?e=16HniB" xr:uid="{049A3B12-6F86-464D-AFC1-97F8C7437C24}"/>
    <hyperlink ref="K22" r:id="rId13" display="https://umaedu-my.sharepoint.com/:w:/g/personal/recepciondefacturas_uma_edu_pe/IQDq229usGY3T6prGMLSutgpAYf7W2f3UB2cxWQ1xvn6-9w?e=RevdFR" xr:uid="{9094137B-44B0-4CC8-8DD5-5D7F5C053848}"/>
    <hyperlink ref="K24" r:id="rId14" display="https://umaedu-my.sharepoint.com/:b:/g/personal/recepciondefacturas_uma_edu_pe/IQB57C1TrdUDSLomJrqe8CeJATAplVRFumcywWZ88nllI3M?e=phhEtU" xr:uid="{42AEFF17-28D8-4F8E-8367-85D454E9CDC4}"/>
    <hyperlink ref="K23" r:id="rId15" display="https://umaedu-my.sharepoint.com/:b:/g/personal/recepciondefacturas_uma_edu_pe/IQAO1XR1Aj8UTYi4VAaUb7MCAUHWA1a2Qxh8QWCVLgo5vAU?e=SVAoPH" xr:uid="{08D40754-4E75-461C-AD0B-1A1E39B9DC32}"/>
    <hyperlink ref="K26" r:id="rId16" display="https://umaedu-my.sharepoint.com/:b:/g/personal/recepciondefacturas_uma_edu_pe/IQANnYsIaPFzSq8X7RksMEVoAYp7Jm-nSGV_ZpTsRRgAkxw?e=dHmujw" xr:uid="{D87B2BFA-0A71-41E4-A757-4DD66EAF893F}"/>
    <hyperlink ref="K30" r:id="rId17" display="https://umaedu-my.sharepoint.com/:b:/g/personal/recepciondefacturas_uma_edu_pe/IQAw3JME3hMGR7qO4YZSLq27Aeu-ZFRuGHkcd5AggSsk3RU?e=LMLHZS" xr:uid="{58F67606-45B8-4970-AB96-AFA44D0A698F}"/>
    <hyperlink ref="K44" r:id="rId18" display="https://umaedu-my.sharepoint.com/:b:/g/personal/recepciondefacturas_uma_edu_pe/IQCPQHg-DTRUSr5Ba7jGWX_oAfyzUZN-1ax3pSmzIHPR5j8?e=GqHRUY" xr:uid="{FDF5830A-70B4-490F-8B10-0508007F6C7A}"/>
    <hyperlink ref="K32" r:id="rId19" display="https://umaedu-my.sharepoint.com/:b:/g/personal/recepciondefacturas_uma_edu_pe/IQCQDVGb5qPVRZNXmhfp_vBLAR3PC2acU7XktOhvdZ3yqoc?e=dhNTZo" xr:uid="{1B995976-B3F3-4FEF-9ED9-1AFD4810BABB}"/>
    <hyperlink ref="K37" r:id="rId20" display="https://umaedu-my.sharepoint.com/:b:/g/personal/recepciondefacturas_uma_edu_pe/IQDTrwJOZ4TgTYoOE62fmpRcAdOmiRr8hYhHJ8SEA95Sj_Q?e=r8OFnI" xr:uid="{47AEE172-12C8-4E0C-8B64-761266437C8F}"/>
    <hyperlink ref="K33" r:id="rId21" display="https://umaedu-my.sharepoint.com/:b:/g/personal/recepciondefacturas_uma_edu_pe/IQDyIEigR7_WQq1rld3f_x66AQh9xwKwWVYrhrR1HdfuduY?e=oSXJuR" xr:uid="{3400F849-D6D1-4E8D-AB77-81F8EE2E9E09}"/>
    <hyperlink ref="K39" r:id="rId22" display="https://umaedu-my.sharepoint.com/:b:/g/personal/recepciondefacturas_uma_edu_pe/IQDt_wdNjNW-RrGrYvmqNQXfAencne_xbt7gQRz9TzcC-Qo?e=ohaX7m" xr:uid="{979F836A-68BE-4C42-8D8E-98F45F5BD204}"/>
    <hyperlink ref="K38" r:id="rId23" display="https://umaedu-my.sharepoint.com/:b:/g/personal/recepciondefacturas_uma_edu_pe/IQDPmjJR0eryRZi1TttWQbsLAaNF-M1_gU0twM33SeN5uWw?e=xJklHt" xr:uid="{573E88B4-BC23-4F57-95EB-902AE83EA49F}"/>
    <hyperlink ref="K35" r:id="rId24" display="https://umaedu-my.sharepoint.com/:b:/g/personal/recepciondefacturas_uma_edu_pe/IQBexzwe0jM5Q6jb26hd83gQAX6aErMmTE0O33zY-83v-E8?e=TzE4Bl" xr:uid="{9A0974C7-0F56-42E4-BEE5-73FAF620B71B}"/>
    <hyperlink ref="K36" r:id="rId25" display="https://umaedu-my.sharepoint.com/:b:/g/personal/recepciondefacturas_uma_edu_pe/IQAKT2AYR3aDSoBX87Llfrx6Ac_RAqPdOoPkuZE0l1qnxbs?e=yltT3N" xr:uid="{1C920E9C-677E-4A5F-9A26-FC4C7FCC467B}"/>
    <hyperlink ref="K42" r:id="rId26" display="https://umaedu-my.sharepoint.com/:b:/g/personal/recepciondefacturas_uma_edu_pe/IQCcRmFXCEgFSIMJRKzR8ItbAVjHS3ORNl-pAAPqDhlnEdM?e=1SRUJ4" xr:uid="{E090D24D-3797-4813-BF47-3F9E97AA19D5}"/>
    <hyperlink ref="K43" r:id="rId27" display="https://umaedu-my.sharepoint.com/:b:/g/personal/recepciondefacturas_uma_edu_pe/IQCuDQwSIEqkQa5NWU8QD3kXAdqQYQZmANabRwdIOakJwn0?e=znNmGJ" xr:uid="{9D108AB8-6C87-404E-A558-D8AF081CF19F}"/>
    <hyperlink ref="K56" r:id="rId28" display="movilidad-SANDRA.pdf" xr:uid="{4AE0851F-69D5-48B8-981C-B24CF10CC157}"/>
    <hyperlink ref="K53" r:id="rId29" display="Invoice_F 030-1845269.pdf" xr:uid="{F154A607-494A-46EC-96B3-3F0982FEFDF3}"/>
    <hyperlink ref="K57" r:id="rId30" display="Tinta de impresora.pdf" xr:uid="{ADC9F76C-9FA8-4DBA-9A7D-890DE6B30C4C}"/>
    <hyperlink ref="K54" r:id="rId31" display="Internet de Barranca.pdf" xr:uid="{45043957-1095-4415-90A4-7C18D0034D25}"/>
    <hyperlink ref="K55" r:id="rId32" display="PDF-DOC-E001-24210074982650 (1).pdf" xr:uid="{1FA34844-C251-4495-847B-23F19A375B7E}"/>
    <hyperlink ref="K59" r:id="rId33" display="Cot. 26-065 UMA HABILITACION ELECTRICO PARA AUTOCLAVE MRC E-AU001.xls" xr:uid="{11E0908B-BDCE-4011-AA6C-EF19B503D41F}"/>
    <hyperlink ref="K60" r:id="rId34" display="Cot. 26-064 UMA MANTENIMIENTO DE EQUIPOS VARIOS.xls" xr:uid="{99405F61-45DA-47EA-81AD-B39501F56784}"/>
    <hyperlink ref="K61" r:id="rId35" display="Cot. 26-063 UMA MANTENIMIENTO DE MICROSCOPIOS..pdf" xr:uid="{8D5D1E1B-7549-4D9A-A3F7-11C27DFF5DD7}"/>
    <hyperlink ref="K58" r:id="rId36" display="Gastos de POA 2026 - FYB.pdf" xr:uid="{6BE75663-254F-4D96-A5BE-E4AA31AE3913}"/>
    <hyperlink ref="K62" r:id="rId37" display="F002-0001597.pdf" xr:uid="{DF4EFFBA-3CDC-409E-AE6C-0A77C69F3078}"/>
    <hyperlink ref="K63" r:id="rId38" display="Completa pago de medallas..pdf" xr:uid="{2601DA0C-3476-4D63-96F2-1162C7D92E83}"/>
    <hyperlink ref="K29" r:id="rId39" display="Adquisición de Estolas.pdf" xr:uid="{41D7CE9A-CD77-4D11-8AF5-6B585A1761A7}"/>
    <hyperlink ref="K64" r:id="rId40" display="Devolución de pago por desistimiento.pdf" xr:uid="{9EF0A872-8061-4068-A8E4-FA7A0A2D493F}"/>
    <hyperlink ref="E8" r:id="rId41" display="rafael.landauro@uma.edu.pe" xr:uid="{A811AF9C-8444-4A12-83E0-50DD5F6D4513}"/>
    <hyperlink ref="E9" r:id="rId42" display="rafael.landauro@uma.edu.pe" xr:uid="{538E1748-E74A-4DAC-9D39-4447D5850EE4}"/>
    <hyperlink ref="E10" r:id="rId43" display="rafael.landauro@uma.edu.pe" xr:uid="{105540DF-E609-4555-8AAC-211318B223AC}"/>
    <hyperlink ref="E11" r:id="rId44" display="rafael.landauro@uma.edu.pe" xr:uid="{E6CDCBCD-D0BC-428A-A7DC-F980794CE97B}"/>
    <hyperlink ref="E12" r:id="rId45" display="rafael.landauro@uma.edu.pe" xr:uid="{44023226-30BF-4B51-B6F1-90B9DECAC5DF}"/>
    <hyperlink ref="E13" r:id="rId46" display="rafael.landauro@uma.edu.pe" xr:uid="{88A46493-A958-482F-9FB3-9D4223A1395D}"/>
    <hyperlink ref="E14" r:id="rId47" display="rafael.landauro@uma.edu.pe" xr:uid="{B05D1C1A-A1F5-4E5C-9069-01D548872C1B}"/>
    <hyperlink ref="E15" r:id="rId48" display="rafael.landauro@uma.edu.pe" xr:uid="{B465CF3F-6C2B-4E55-AA66-A2B2F5C2684B}"/>
    <hyperlink ref="E16" r:id="rId49" display="rafael.landauro@uma.edu.pe" xr:uid="{7994EC09-3787-476F-939F-EDDBF1DB8E32}"/>
    <hyperlink ref="E17" r:id="rId50" display="rafael.landauro@uma.edu.pe" xr:uid="{7BA0BCAB-8086-477C-B4DB-568ACF33399B}"/>
    <hyperlink ref="E18" r:id="rId51" display="rafael.landauro@uma.edu.pe" xr:uid="{7B8BCB3F-CA88-42B7-BB3D-BD1058614A36}"/>
    <hyperlink ref="E19" r:id="rId52" display="rafael.landauro@uma.edu.pe" xr:uid="{88BBDF88-A0E4-49C3-9ACC-74EF37708696}"/>
    <hyperlink ref="E20" r:id="rId53" display="rafael.landauro@uma.edu.pe" xr:uid="{CC7782B3-D9BB-45E4-9F4B-CE44B1993152}"/>
    <hyperlink ref="E21" r:id="rId54" display="rafael.landauro@uma.edu.pe" xr:uid="{8B209F5F-6A9E-4451-9513-BF37BEA52D20}"/>
    <hyperlink ref="E22" r:id="rId55" display="rafael.landauro@uma.edu.pe" xr:uid="{66CEB0AF-C252-4F7E-BE97-6706DB7D2F18}"/>
    <hyperlink ref="E23" r:id="rId56" display="rafael.landauro@uma.edu.pe" xr:uid="{9B36108A-809E-4E92-A4A2-F71B09FEBC02}"/>
    <hyperlink ref="E24" r:id="rId57" display="rafael.landauro@uma.edu.pe" xr:uid="{3DD8E595-51E4-43F5-8505-95BFAA0D534E}"/>
    <hyperlink ref="E25" r:id="rId58" display="rafael.landauro@uma.edu.pe" xr:uid="{7EED7C0C-8111-4004-AAB9-16562B7A2645}"/>
    <hyperlink ref="E26" r:id="rId59" display="rafael.landauro@uma.edu.pe" xr:uid="{AC9E15F4-4600-4561-87C5-0BEF4E59CFA2}"/>
    <hyperlink ref="E27" r:id="rId60" display="rafael.landauro@uma.edu.pe" xr:uid="{9AB57C04-CFA3-4729-B612-AD8BC4A73C7F}"/>
    <hyperlink ref="E28" r:id="rId61" display="rafael.landauro@uma.edu.pe" xr:uid="{A4D37BC2-DAF6-46C8-A150-9EB6CFE821C9}"/>
    <hyperlink ref="E29" r:id="rId62" display="rafael.landauro@uma.edu.pe" xr:uid="{5C05A2D6-9F28-402F-8093-1A502C1C1E4B}"/>
    <hyperlink ref="E30" r:id="rId63" display="rafael.landauro@uma.edu.pe" xr:uid="{BAC3D0BE-4FCA-465C-965C-9BBBA834F8C7}"/>
    <hyperlink ref="E31" r:id="rId64" display="rafael.landauro@uma.edu.pe" xr:uid="{D6CC9ACE-DB2B-4EB8-B02C-4E88FD3F518E}"/>
    <hyperlink ref="E32" r:id="rId65" display="rafael.landauro@uma.edu.pe" xr:uid="{18F6F186-DEB6-4AD9-B39C-75C4AA9C5716}"/>
    <hyperlink ref="E33" r:id="rId66" display="rafael.landauro@uma.edu.pe" xr:uid="{CEEA8AAF-4516-45D3-B077-E1ED938B38CB}"/>
    <hyperlink ref="E34" r:id="rId67" display="rafael.landauro@uma.edu.pe" xr:uid="{2EE6BADA-8EAD-4F92-AC8C-96A331BDC939}"/>
    <hyperlink ref="E35" r:id="rId68" display="rafael.landauro@uma.edu.pe" xr:uid="{41159D53-09F1-4661-B531-7396757F2682}"/>
    <hyperlink ref="E36" r:id="rId69" display="rafael.landauro@uma.edu.pe" xr:uid="{376EC03C-4CD0-4661-A39E-727AAA5B26B4}"/>
    <hyperlink ref="E37" r:id="rId70" display="rafael.landauro@uma.edu.pe" xr:uid="{BCFC8D4E-27DC-4E25-924D-3BD490F850E7}"/>
    <hyperlink ref="E38" r:id="rId71" display="rafael.landauro@uma.edu.pe" xr:uid="{F3C0DB76-3F19-41C8-B210-5AA48D6AEDD8}"/>
    <hyperlink ref="E39" r:id="rId72" display="rafael.landauro@uma.edu.pe" xr:uid="{2591308B-3EF5-40B5-9ABE-801156C71B3F}"/>
    <hyperlink ref="E40" r:id="rId73" display="rafael.landauro@uma.edu.pe" xr:uid="{A15CE78E-2706-4E93-AE06-376A9639E333}"/>
    <hyperlink ref="E41" r:id="rId74" display="rafael.landauro@uma.edu.pe" xr:uid="{DB73870F-86D3-4A7A-8093-7E04F0381551}"/>
    <hyperlink ref="E42" r:id="rId75" display="rafael.landauro@uma.edu.pe" xr:uid="{EEA01374-C5DB-4ECD-A3EA-50EE8D871321}"/>
    <hyperlink ref="E43" r:id="rId76" display="rafael.landauro@uma.edu.pe" xr:uid="{CE40CE8A-FA85-4AFE-B25C-BC4A1DDDF6CB}"/>
    <hyperlink ref="E44" r:id="rId77" display="rafael.landauro@uma.edu.pe" xr:uid="{2DB8E88F-BF20-46D1-AD55-A9C04626DA5A}"/>
    <hyperlink ref="E45" r:id="rId78" display="rafael.landauro@uma.edu.pe" xr:uid="{61890148-3BD6-4BEF-B26F-9816429B615B}"/>
    <hyperlink ref="E46" r:id="rId79" display="rafael.landauro@uma.edu.pe" xr:uid="{105ECDEF-F62F-40FD-9D3D-3012A2BEC73F}"/>
    <hyperlink ref="E47" r:id="rId80" display="rafael.landauro@uma.edu.pe" xr:uid="{C9D6D113-2B76-46F1-8905-16C32C98009C}"/>
    <hyperlink ref="E48" r:id="rId81" display="rafael.landauro@uma.edu.pe" xr:uid="{6CB2B71F-462A-40DD-B337-827B364B659F}"/>
    <hyperlink ref="E49" r:id="rId82" display="rafael.landauro@uma.edu.pe" xr:uid="{5B16E624-14E7-4105-B623-B5AD4B04F615}"/>
    <hyperlink ref="E50" r:id="rId83" display="rafael.landauro@uma.edu.pe" xr:uid="{4698991E-DD84-4BFE-A8B1-598CADC5BEC7}"/>
    <hyperlink ref="E51" r:id="rId84" display="rafael.landauro@uma.edu.pe" xr:uid="{B12BD334-B41B-44F8-96DB-3A8F4FC2D60B}"/>
    <hyperlink ref="E52" r:id="rId85" display="rafael.landauro@uma.edu.pe" xr:uid="{A2689EF2-BE84-4690-963D-F2B5A330EB25}"/>
    <hyperlink ref="E53" r:id="rId86" display="rafael.landauro@uma.edu.pe" xr:uid="{05CDDEB0-C9A3-4331-A115-98006BA48F1A}"/>
    <hyperlink ref="E54" r:id="rId87" display="rafael.landauro@uma.edu.pe" xr:uid="{EEE389DD-A10C-44C4-8E48-75E4AECD614D}"/>
    <hyperlink ref="E55" r:id="rId88" display="rafael.landauro@uma.edu.pe" xr:uid="{830D6DE2-2660-4451-9827-093290FEDF59}"/>
    <hyperlink ref="E56" r:id="rId89" display="rafael.landauro@uma.edu.pe" xr:uid="{533E8105-5DEC-432D-B8AE-C7C3FDA1CBE3}"/>
    <hyperlink ref="E57" r:id="rId90" display="rafael.landauro@uma.edu.pe" xr:uid="{B1802052-FB60-4A35-A83C-2D08F6924303}"/>
    <hyperlink ref="E58" r:id="rId91" display="rafael.landauro@uma.edu.pe" xr:uid="{D099E1A7-DCA2-4DF6-B50B-89B500A017CE}"/>
    <hyperlink ref="E59" r:id="rId92" display="rafael.landauro@uma.edu.pe" xr:uid="{06155BFF-43EC-42AC-925A-135E90F717DB}"/>
    <hyperlink ref="E60" r:id="rId93" display="rafael.landauro@uma.edu.pe" xr:uid="{C90EFC5B-556D-4CC0-84EF-85E4F6838969}"/>
    <hyperlink ref="E61" r:id="rId94" display="rafael.landauro@uma.edu.pe" xr:uid="{94D43E83-CDD1-4FDE-87ED-F631548792BA}"/>
    <hyperlink ref="E62" r:id="rId95" display="rafael.landauro@uma.edu.pe" xr:uid="{8AA3AABE-B10D-4746-BD2C-37890AB57BD4}"/>
    <hyperlink ref="E63" r:id="rId96" display="rafael.landauro@uma.edu.pe" xr:uid="{F8CBF24E-9F9B-4456-A334-A4B74E649826}"/>
    <hyperlink ref="E64" r:id="rId97" display="rafael.landauro@uma.edu.pe" xr:uid="{62E97668-C459-41C4-A655-96274556E188}"/>
    <hyperlink ref="E65" r:id="rId98" display="rafael.landauro@uma.edu.pe" xr:uid="{E9AAC0EA-C7C4-47E8-93B6-08E973F897AB}"/>
    <hyperlink ref="E66" r:id="rId99" display="rafael.landauro@uma.edu.pe" xr:uid="{5A13901C-0D07-4DBE-9A4F-5641BB4A99E9}"/>
    <hyperlink ref="E67" r:id="rId100" display="rafael.landauro@uma.edu.pe" xr:uid="{37A2788C-FAEE-457B-AD0A-C62DB127A2A6}"/>
    <hyperlink ref="E68" r:id="rId101" display="rafael.landauro@uma.edu.pe" xr:uid="{9B3E24F8-7652-40DD-B667-58863BCE1DD8}"/>
    <hyperlink ref="E69" r:id="rId102" display="rafael.landauro@uma.edu.pe" xr:uid="{EDA819B9-5FE6-44BB-BA64-C52041237069}"/>
    <hyperlink ref="E70" r:id="rId103" display="rafael.landauro@uma.edu.pe" xr:uid="{B38BD81F-B8FE-414A-BB5F-90F0DA99843E}"/>
    <hyperlink ref="E71" r:id="rId104" display="rafael.landauro@uma.edu.pe" xr:uid="{139895F4-C20E-473C-AB08-8C8EA550269B}"/>
    <hyperlink ref="E72" r:id="rId105" display="rafael.landauro@uma.edu.pe" xr:uid="{2691A191-2E0E-4779-AF65-DB041B3862E2}"/>
    <hyperlink ref="E73" r:id="rId106" display="rafael.landauro@uma.edu.pe" xr:uid="{9A03B595-FD92-4A34-84F9-F08AC8BAB457}"/>
    <hyperlink ref="E74" r:id="rId107" display="rafael.landauro@uma.edu.pe" xr:uid="{ECF17DD7-946B-4660-863E-D157D0D6784F}"/>
    <hyperlink ref="E75" r:id="rId108" display="rafael.landauro@uma.edu.pe" xr:uid="{67E6FC1E-A8A2-41F6-B29F-8B1AB57D6E86}"/>
    <hyperlink ref="E76" r:id="rId109" display="rafael.landauro@uma.edu.pe" xr:uid="{17D8CC09-B34A-4544-98B7-82E8D7D37C5D}"/>
    <hyperlink ref="E77" r:id="rId110" display="rafael.landauro@uma.edu.pe" xr:uid="{F2CEB8D9-63B0-4BB5-9E5C-6AA655DE3E8B}"/>
    <hyperlink ref="E78" r:id="rId111" display="rafael.landauro@uma.edu.pe" xr:uid="{762456FB-961E-47F7-983D-9251437450B4}"/>
    <hyperlink ref="E79" r:id="rId112" display="rafael.landauro@uma.edu.pe" xr:uid="{4C84C6C1-74CF-49CE-9DB3-00B4700BD043}"/>
    <hyperlink ref="E80" r:id="rId113" display="rafael.landauro@uma.edu.pe" xr:uid="{DDA1194D-6E62-40A8-B539-30887B069C4B}"/>
    <hyperlink ref="E81" r:id="rId114" display="rafael.landauro@uma.edu.pe" xr:uid="{9206572C-047B-42C7-B34C-C88261C0711E}"/>
    <hyperlink ref="E82" r:id="rId115" display="rafael.landauro@uma.edu.pe" xr:uid="{82785EF0-B30C-4CDF-A889-A1995751A182}"/>
    <hyperlink ref="E83" r:id="rId116" display="rafael.landauro@uma.edu.pe" xr:uid="{AC058321-DECC-478C-8F2C-02173984C125}"/>
    <hyperlink ref="E84" r:id="rId117" display="rafael.landauro@uma.edu.pe" xr:uid="{3E0FE559-3C3D-418A-85C6-C0821D9E1340}"/>
    <hyperlink ref="E85" r:id="rId118" display="rafael.landauro@uma.edu.pe" xr:uid="{256F2D53-E9DC-4DE4-B0C7-D1F2E4520BB4}"/>
    <hyperlink ref="E86" r:id="rId119" display="rafael.landauro@uma.edu.pe" xr:uid="{3207F271-A20D-41FE-8B37-9AC04E47E594}"/>
    <hyperlink ref="E87" r:id="rId120" display="rafael.landauro@uma.edu.pe" xr:uid="{04444A26-068E-4263-B780-0509FB48F2D0}"/>
    <hyperlink ref="E88" r:id="rId121" display="rafael.landauro@uma.edu.pe" xr:uid="{BD49B092-DE9B-443C-9E26-C9B36D352905}"/>
  </hyperlinks>
  <pageMargins left="0.7" right="0.7" top="0.75" bottom="0.75" header="0.3" footer="0.3"/>
  <pageSetup orientation="portrait" horizontalDpi="1200" verticalDpi="1200" r:id="rId122"/>
  <drawing r:id="rId123"/>
  <legacyDrawing r:id="rId124"/>
  <tableParts count="1">
    <tablePart r:id="rId12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C07D784-FB97-4D59-853A-FE7BBCC6ACF7}">
          <x14:formula1>
            <xm:f>BD!$R$4:$R$8</xm:f>
          </x14:formula1>
          <xm:sqref>F8:F39 F41:F96</xm:sqref>
        </x14:dataValidation>
        <x14:dataValidation type="list" allowBlank="1" showInputMessage="1" showErrorMessage="1" xr:uid="{87EF6DE3-9B81-4EA1-BC56-E9C3002A242F}">
          <x14:formula1>
            <xm:f>BD!$R$19:$R$25</xm:f>
          </x14:formula1>
          <xm:sqref>I8:I99</xm:sqref>
        </x14:dataValidation>
        <x14:dataValidation type="list" allowBlank="1" showInputMessage="1" showErrorMessage="1" xr:uid="{A3736E76-78FB-437D-A0DD-92C5434247F3}">
          <x14:formula1>
            <xm:f>BD!$Q$29:$Q$30</xm:f>
          </x14:formula1>
          <xm:sqref>P8:P99</xm:sqref>
        </x14:dataValidation>
        <x14:dataValidation type="list" allowBlank="1" showInputMessage="1" showErrorMessage="1" xr:uid="{3C049AE6-CDB9-44DC-814A-7E81C88B1106}">
          <x14:formula1>
            <xm:f>BD!$N$5:$N$87</xm:f>
          </x14:formula1>
          <xm:sqref>D8:D99</xm:sqref>
        </x14:dataValidation>
        <x14:dataValidation type="list" allowBlank="1" showInputMessage="1" showErrorMessage="1" xr:uid="{840BF2CC-1817-4374-B205-D25B2BB9E209}">
          <x14:formula1>
            <xm:f>BD!$Q$35:$Q$40</xm:f>
          </x14:formula1>
          <xm:sqref>V8:V99</xm:sqref>
        </x14:dataValidation>
        <x14:dataValidation type="list" allowBlank="1" showInputMessage="1" showErrorMessage="1" xr:uid="{054F8D24-17D4-42A1-BF7C-97148AE603EE}">
          <x14:formula1>
            <xm:f>'Tabla 1'!$B$6:$B$64</xm:f>
          </x14:formula1>
          <xm:sqref>M8:M99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5EEAE-8878-4828-86CE-F712BB1E3608}">
  <sheetPr codeName="Hoja2"/>
  <dimension ref="A1:AD53"/>
  <sheetViews>
    <sheetView showGridLines="0" topLeftCell="P1" zoomScale="80" zoomScaleNormal="80" workbookViewId="0">
      <selection activeCell="R4" sqref="R4:AD53"/>
    </sheetView>
  </sheetViews>
  <sheetFormatPr baseColWidth="10" defaultColWidth="11.42578125" defaultRowHeight="15" x14ac:dyDescent="0.25"/>
  <cols>
    <col min="1" max="1" width="11.42578125" style="29"/>
    <col min="3" max="3" width="24.85546875" customWidth="1"/>
    <col min="5" max="5" width="29.5703125" customWidth="1"/>
    <col min="6" max="6" width="47.140625" bestFit="1" customWidth="1"/>
    <col min="7" max="7" width="18" style="16" customWidth="1"/>
    <col min="8" max="8" width="13.42578125" bestFit="1" customWidth="1"/>
    <col min="9" max="9" width="18.42578125" bestFit="1" customWidth="1"/>
    <col min="10" max="10" width="14.28515625" bestFit="1" customWidth="1"/>
    <col min="11" max="11" width="53.28515625" bestFit="1" customWidth="1"/>
    <col min="12" max="12" width="13.42578125" bestFit="1" customWidth="1"/>
    <col min="13" max="13" width="34.5703125" bestFit="1" customWidth="1"/>
    <col min="14" max="14" width="19.5703125" bestFit="1" customWidth="1"/>
    <col min="18" max="18" width="10" bestFit="1" customWidth="1"/>
    <col min="19" max="19" width="13" bestFit="1" customWidth="1"/>
    <col min="20" max="20" width="12.85546875" bestFit="1" customWidth="1"/>
    <col min="21" max="21" width="23" bestFit="1" customWidth="1"/>
    <col min="22" max="22" width="39.5703125" bestFit="1" customWidth="1"/>
    <col min="23" max="23" width="16.5703125" bestFit="1" customWidth="1"/>
    <col min="24" max="24" width="13.42578125" bestFit="1" customWidth="1"/>
    <col min="25" max="25" width="15.28515625" bestFit="1" customWidth="1"/>
    <col min="26" max="26" width="18.140625" bestFit="1" customWidth="1"/>
    <col min="27" max="27" width="98.7109375" bestFit="1" customWidth="1"/>
    <col min="28" max="28" width="16.7109375" bestFit="1" customWidth="1"/>
    <col min="29" max="29" width="35.28515625" bestFit="1" customWidth="1"/>
    <col min="30" max="30" width="19.5703125" bestFit="1" customWidth="1"/>
  </cols>
  <sheetData>
    <row r="1" spans="1:30" ht="26.25" x14ac:dyDescent="0.4">
      <c r="A1" s="31" t="s">
        <v>22</v>
      </c>
    </row>
    <row r="2" spans="1:30" ht="15.75" thickBot="1" x14ac:dyDescent="0.3"/>
    <row r="3" spans="1:30" x14ac:dyDescent="0.25">
      <c r="A3" s="77" t="s">
        <v>240</v>
      </c>
      <c r="B3" s="78" t="s">
        <v>241</v>
      </c>
      <c r="C3" s="78" t="s">
        <v>242</v>
      </c>
      <c r="D3" s="78" t="s">
        <v>243</v>
      </c>
      <c r="E3" s="78" t="s">
        <v>244</v>
      </c>
      <c r="F3" s="78" t="s">
        <v>245</v>
      </c>
      <c r="G3" s="79" t="s">
        <v>246</v>
      </c>
      <c r="H3" s="78" t="s">
        <v>247</v>
      </c>
      <c r="I3" s="78" t="s">
        <v>248</v>
      </c>
      <c r="J3" s="78" t="s">
        <v>249</v>
      </c>
      <c r="K3" s="78" t="s">
        <v>250</v>
      </c>
      <c r="L3" s="78" t="s">
        <v>251</v>
      </c>
      <c r="M3" s="78" t="s">
        <v>252</v>
      </c>
      <c r="N3" s="78" t="s">
        <v>253</v>
      </c>
      <c r="R3" s="81" t="s">
        <v>241</v>
      </c>
      <c r="S3" s="81" t="s">
        <v>242</v>
      </c>
      <c r="T3" s="81" t="s">
        <v>243</v>
      </c>
      <c r="U3" s="81" t="s">
        <v>244</v>
      </c>
      <c r="V3" s="81" t="s">
        <v>245</v>
      </c>
      <c r="W3" s="81" t="s">
        <v>246</v>
      </c>
      <c r="X3" s="81" t="s">
        <v>247</v>
      </c>
      <c r="Y3" s="81" t="s">
        <v>248</v>
      </c>
      <c r="Z3" s="81" t="s">
        <v>249</v>
      </c>
      <c r="AA3" s="81" t="s">
        <v>250</v>
      </c>
      <c r="AB3" s="81" t="s">
        <v>251</v>
      </c>
      <c r="AC3" s="81" t="s">
        <v>252</v>
      </c>
      <c r="AD3" s="81" t="s">
        <v>253</v>
      </c>
    </row>
    <row r="4" spans="1:30" x14ac:dyDescent="0.25">
      <c r="A4" s="29">
        <f>+BD!AA5</f>
        <v>67</v>
      </c>
      <c r="B4" s="17" t="str">
        <f>IF(A4=0,"",VLOOKUP(+VLOOKUP(A4,Tabla3[],'Registro de Operaciones'!$F$6,FALSE),DOI_Tipo,2,FALSE))</f>
        <v>R</v>
      </c>
      <c r="C4" s="19" t="str">
        <f>IF(A4=0,"",+VLOOKUP(A4,Tabla3[#All],'Registro de Operaciones'!$G$6,FALSE))</f>
        <v>20602571077</v>
      </c>
      <c r="D4" s="18" t="str">
        <f>IF(A4=0,"",VLOOKUP(+VLOOKUP(A4,Tabla3[],'Registro de Operaciones'!$N$6,FALSE),Tipo_Abono,2,FALSE))</f>
        <v>P</v>
      </c>
      <c r="E4" s="19" t="str">
        <f>IF(A4=0,"",+VLOOKUP(A4,Tabla3[],'Registro de Operaciones'!$O$6,FALSE))</f>
        <v>00110908000100006797</v>
      </c>
      <c r="F4" s="19" t="str">
        <f>IF(A4=0,"",+VLOOKUP(A4,Tabla3[],'Registro de Operaciones'!$H$6,FALSE))</f>
        <v>HOLACLIENTE SAC</v>
      </c>
      <c r="G4" s="32">
        <f>IF(A4=0,"",ROUND(+VLOOKUP(A4,Tabla3[],'Registro de Operaciones'!$X$6,FALSE),2))</f>
        <v>5794.4</v>
      </c>
      <c r="H4" s="20" t="str">
        <f>IF(A4=0,"",VLOOKUP(+VLOOKUP(A4,Tabla3[],'Registro de Operaciones'!$I$6,FALSE),Tipo_Recibo,2,FALSE))</f>
        <v>B</v>
      </c>
      <c r="I4" s="19" t="str">
        <f>IF(A4=0,"",+VLOOKUP(A4,Tabla3[],'Registro de Operaciones'!$J$6,FALSE))</f>
        <v>Cotización S01438</v>
      </c>
      <c r="J4" s="20" t="str">
        <f>+IF(A4&gt;0,"N","")</f>
        <v>N</v>
      </c>
      <c r="K4" s="19" t="str">
        <f>IF(A4=0,"",+VLOOKUP(A4,Tabla3[],'Registro de Operaciones'!$L$6,FALSE))</f>
        <v>SERVICIO DE BOLSA WHATSAPP - TESORERÍA</v>
      </c>
      <c r="L4" s="20" t="str">
        <f>+IF(A4&gt;0,"E","")</f>
        <v>E</v>
      </c>
      <c r="M4" s="88" t="str">
        <f>IF(A4=0,"",+VLOOKUP(A4,Tabla3[],'Registro de Operaciones'!$E$6,FALSE))</f>
        <v>RAFAEL.LANDAURO@UMA.EDU.PE</v>
      </c>
      <c r="N4" s="19" t="str">
        <f>+IF(A4&gt;0,"Nayrut Flores","")</f>
        <v>Nayrut Flores</v>
      </c>
      <c r="Q4">
        <f>+LEN(U4)</f>
        <v>20</v>
      </c>
      <c r="R4" t="s">
        <v>254</v>
      </c>
      <c r="S4" t="s">
        <v>216</v>
      </c>
      <c r="T4" t="s">
        <v>255</v>
      </c>
      <c r="U4" t="s">
        <v>1054</v>
      </c>
      <c r="V4" t="s">
        <v>1053</v>
      </c>
      <c r="W4" s="16">
        <v>5794.4</v>
      </c>
      <c r="X4" t="s">
        <v>270</v>
      </c>
      <c r="Y4" t="s">
        <v>215</v>
      </c>
      <c r="Z4" t="s">
        <v>259</v>
      </c>
      <c r="AA4" t="s">
        <v>1231</v>
      </c>
      <c r="AB4" t="s">
        <v>260</v>
      </c>
      <c r="AC4" t="s">
        <v>1090</v>
      </c>
      <c r="AD4" t="s">
        <v>261</v>
      </c>
    </row>
    <row r="5" spans="1:30" x14ac:dyDescent="0.25">
      <c r="A5" s="29">
        <f>+BD!AA6</f>
        <v>81</v>
      </c>
      <c r="B5" s="17" t="str">
        <f>IF(A5=0,"",VLOOKUP(+VLOOKUP(A5,Tabla3[],'Registro de Operaciones'!$F$6,FALSE),DOI_Tipo,2,FALSE))</f>
        <v>R</v>
      </c>
      <c r="C5" s="19" t="str">
        <f>IF(A5=0,"",+VLOOKUP(A5,Tabla3[#All],'Registro de Operaciones'!$G$6,FALSE))</f>
        <v>20556502928</v>
      </c>
      <c r="D5" s="18" t="str">
        <f>IF(A5=0,"",VLOOKUP(+VLOOKUP(A5,Tabla3[],'Registro de Operaciones'!$N$6,FALSE),Tipo_Abono,2,FALSE))</f>
        <v>P</v>
      </c>
      <c r="E5" s="19" t="str">
        <f>IF(A5=0,"",+VLOOKUP(A5,Tabla3[],'Registro de Operaciones'!$O$6,FALSE))</f>
        <v>00110122000100039129</v>
      </c>
      <c r="F5" s="19" t="str">
        <f>IF(A5=0,"",+VLOOKUP(A5,Tabla3[],'Registro de Operaciones'!$H$6,FALSE))</f>
        <v>KR SECURITY</v>
      </c>
      <c r="G5" s="32">
        <f>IF(A5=0,"",ROUND(+VLOOKUP(A5,Tabla3[],'Registro de Operaciones'!$X$6,FALSE),2))</f>
        <v>20643.400000000001</v>
      </c>
      <c r="H5" s="20" t="str">
        <f>IF(A5=0,"",VLOOKUP(+VLOOKUP(A5,Tabla3[],'Registro de Operaciones'!$I$6,FALSE),Tipo_Recibo,2,FALSE))</f>
        <v>F</v>
      </c>
      <c r="I5" s="19" t="str">
        <f>IF(A5=0,"",+VLOOKUP(A5,Tabla3[],'Registro de Operaciones'!$J$6,FALSE))</f>
        <v>FFF1-011087</v>
      </c>
      <c r="J5" s="20" t="str">
        <f t="shared" ref="J5:J6" si="0">+IF(A5&gt;0,"N","")</f>
        <v>N</v>
      </c>
      <c r="K5" s="19" t="str">
        <f>IF(A5=0,"",+VLOOKUP(A5,Tabla3[],'Registro de Operaciones'!$L$6,FALSE))</f>
        <v>SERVICIO DE SEGURIDAD - JUN. 26</v>
      </c>
      <c r="L5" s="20" t="str">
        <f t="shared" ref="L5:L6" si="1">+IF(A5&gt;0,"E","")</f>
        <v>E</v>
      </c>
      <c r="M5" s="88" t="str">
        <f>IF(A5=0,"",+VLOOKUP(A5,Tabla3[],'Registro de Operaciones'!$E$6,FALSE))</f>
        <v>RAFAEL.LANDAURO@UMA.EDU.PE</v>
      </c>
      <c r="N5" s="19" t="str">
        <f t="shared" ref="N5:N6" si="2">+IF(A5&gt;0,"Nayrut Flores","")</f>
        <v>Nayrut Flores</v>
      </c>
      <c r="Q5">
        <f t="shared" ref="Q5:Q53" si="3">+LEN(U5)</f>
        <v>20</v>
      </c>
      <c r="R5" t="s">
        <v>254</v>
      </c>
      <c r="S5" t="s">
        <v>238</v>
      </c>
      <c r="T5" t="s">
        <v>255</v>
      </c>
      <c r="U5" t="s">
        <v>343</v>
      </c>
      <c r="V5" t="s">
        <v>292</v>
      </c>
      <c r="W5" s="16">
        <v>20643.400000000001</v>
      </c>
      <c r="X5" t="s">
        <v>258</v>
      </c>
      <c r="Y5" t="s">
        <v>237</v>
      </c>
      <c r="Z5" t="s">
        <v>259</v>
      </c>
      <c r="AA5" t="s">
        <v>239</v>
      </c>
      <c r="AB5" t="s">
        <v>260</v>
      </c>
      <c r="AC5" t="s">
        <v>1090</v>
      </c>
      <c r="AD5" t="s">
        <v>261</v>
      </c>
    </row>
    <row r="6" spans="1:30" x14ac:dyDescent="0.25">
      <c r="A6" s="29">
        <f>+BD!AA7</f>
        <v>0</v>
      </c>
      <c r="B6" s="17" t="str">
        <f>IF(A6=0,"",VLOOKUP(+VLOOKUP(A6,Tabla3[],'Registro de Operaciones'!$F$6,FALSE),DOI_Tipo,2,FALSE))</f>
        <v/>
      </c>
      <c r="C6" s="19" t="str">
        <f>IF(A6=0,"",+VLOOKUP(A6,Tabla3[#All],'Registro de Operaciones'!$G$6,FALSE))</f>
        <v/>
      </c>
      <c r="D6" s="18" t="str">
        <f>IF(A6=0,"",VLOOKUP(+VLOOKUP(A6,Tabla3[],'Registro de Operaciones'!$N$6,FALSE),Tipo_Abono,2,FALSE))</f>
        <v/>
      </c>
      <c r="E6" s="19" t="str">
        <f>IF(A6=0,"",+VLOOKUP(A6,Tabla3[],'Registro de Operaciones'!$O$6,FALSE))</f>
        <v/>
      </c>
      <c r="F6" s="19" t="str">
        <f>IF(A6=0,"",+VLOOKUP(A6,Tabla3[],'Registro de Operaciones'!$H$6,FALSE))</f>
        <v/>
      </c>
      <c r="G6" s="32" t="str">
        <f>IF(A6=0,"",ROUND(+VLOOKUP(A6,Tabla3[],'Registro de Operaciones'!$X$6,FALSE),2))</f>
        <v/>
      </c>
      <c r="H6" s="20" t="str">
        <f>IF(A6=0,"",VLOOKUP(+VLOOKUP(A6,Tabla3[],'Registro de Operaciones'!$I$6,FALSE),Tipo_Recibo,2,FALSE))</f>
        <v/>
      </c>
      <c r="I6" s="19" t="str">
        <f>IF(A6=0,"",+VLOOKUP(A6,Tabla3[],'Registro de Operaciones'!$J$6,FALSE))</f>
        <v/>
      </c>
      <c r="J6" s="20" t="str">
        <f t="shared" si="0"/>
        <v/>
      </c>
      <c r="K6" s="19" t="str">
        <f>IF(A6=0,"",+VLOOKUP(A6,Tabla3[],'Registro de Operaciones'!$L$6,FALSE))</f>
        <v/>
      </c>
      <c r="L6" s="20" t="str">
        <f t="shared" si="1"/>
        <v/>
      </c>
      <c r="M6" s="88" t="str">
        <f>IF(A6=0,"",+VLOOKUP(A6,Tabla3[],'Registro de Operaciones'!$E$6,FALSE))</f>
        <v/>
      </c>
      <c r="N6" s="19" t="str">
        <f t="shared" si="2"/>
        <v/>
      </c>
      <c r="Q6">
        <f t="shared" si="3"/>
        <v>0</v>
      </c>
      <c r="R6" t="s">
        <v>311</v>
      </c>
      <c r="S6" t="s">
        <v>311</v>
      </c>
      <c r="T6" t="s">
        <v>311</v>
      </c>
      <c r="U6" t="s">
        <v>311</v>
      </c>
      <c r="V6" t="s">
        <v>311</v>
      </c>
      <c r="W6" s="16" t="s">
        <v>311</v>
      </c>
      <c r="X6" t="s">
        <v>311</v>
      </c>
      <c r="Y6" t="s">
        <v>311</v>
      </c>
      <c r="Z6" t="s">
        <v>311</v>
      </c>
      <c r="AA6" t="s">
        <v>311</v>
      </c>
      <c r="AB6" t="s">
        <v>311</v>
      </c>
      <c r="AC6" t="s">
        <v>311</v>
      </c>
      <c r="AD6" t="s">
        <v>311</v>
      </c>
    </row>
    <row r="7" spans="1:30" x14ac:dyDescent="0.25">
      <c r="A7" s="29">
        <f>+BD!AA8</f>
        <v>0</v>
      </c>
      <c r="B7" s="17" t="str">
        <f>IF(A7=0,"",VLOOKUP(+VLOOKUP(A7,Tabla3[],'Registro de Operaciones'!$F$6,FALSE),DOI_Tipo,2,FALSE))</f>
        <v/>
      </c>
      <c r="C7" s="19" t="str">
        <f>IF(A7=0,"",+VLOOKUP(A7,Tabla3[#All],'Registro de Operaciones'!$G$6,FALSE))</f>
        <v/>
      </c>
      <c r="D7" s="18" t="str">
        <f>IF(A7=0,"",VLOOKUP(+VLOOKUP(A7,Tabla3[],'Registro de Operaciones'!$N$6,FALSE),Tipo_Abono,2,FALSE))</f>
        <v/>
      </c>
      <c r="E7" s="19" t="str">
        <f>IF(A7=0,"",+VLOOKUP(A7,Tabla3[],'Registro de Operaciones'!$O$6,FALSE))</f>
        <v/>
      </c>
      <c r="F7" s="19" t="str">
        <f>IF(A7=0,"",+VLOOKUP(A7,Tabla3[],'Registro de Operaciones'!$H$6,FALSE))</f>
        <v/>
      </c>
      <c r="G7" s="32" t="str">
        <f>IF(A7=0,"",ROUND(+VLOOKUP(A7,Tabla3[],'Registro de Operaciones'!$X$6,FALSE),2))</f>
        <v/>
      </c>
      <c r="H7" s="20" t="str">
        <f>IF(A7=0,"",VLOOKUP(+VLOOKUP(A7,Tabla3[],'Registro de Operaciones'!$I$6,FALSE),Tipo_Recibo,2,FALSE))</f>
        <v/>
      </c>
      <c r="I7" s="19" t="str">
        <f>IF(A7=0,"",+VLOOKUP(A7,Tabla3[],'Registro de Operaciones'!$J$6,FALSE))</f>
        <v/>
      </c>
      <c r="J7" s="20" t="str">
        <f t="shared" ref="J7:J53" si="4">+IF(A7&gt;0,"N","")</f>
        <v/>
      </c>
      <c r="K7" s="19" t="str">
        <f>IF(A7=0,"",+VLOOKUP(A7,Tabla3[],'Registro de Operaciones'!$L$6,FALSE))</f>
        <v/>
      </c>
      <c r="L7" s="20" t="str">
        <f t="shared" ref="L7:L53" si="5">+IF(A7&gt;0,"E","")</f>
        <v/>
      </c>
      <c r="M7" s="88" t="str">
        <f>IF(A7=0,"",+VLOOKUP(A7,Tabla3[],'Registro de Operaciones'!$E$6,FALSE))</f>
        <v/>
      </c>
      <c r="N7" s="19" t="str">
        <f t="shared" ref="N7:N53" si="6">+IF(A7&gt;0,"Nayrut Flores","")</f>
        <v/>
      </c>
      <c r="Q7">
        <f t="shared" si="3"/>
        <v>0</v>
      </c>
      <c r="R7" t="s">
        <v>311</v>
      </c>
      <c r="S7" t="s">
        <v>311</v>
      </c>
      <c r="T7" t="s">
        <v>311</v>
      </c>
      <c r="U7" t="s">
        <v>311</v>
      </c>
      <c r="V7" t="s">
        <v>311</v>
      </c>
      <c r="W7" s="16" t="s">
        <v>311</v>
      </c>
      <c r="X7" t="s">
        <v>311</v>
      </c>
      <c r="Y7" t="s">
        <v>311</v>
      </c>
      <c r="Z7" t="s">
        <v>311</v>
      </c>
      <c r="AA7" t="s">
        <v>311</v>
      </c>
      <c r="AB7" t="s">
        <v>311</v>
      </c>
      <c r="AC7" t="s">
        <v>311</v>
      </c>
      <c r="AD7" t="s">
        <v>311</v>
      </c>
    </row>
    <row r="8" spans="1:30" x14ac:dyDescent="0.25">
      <c r="A8" s="29">
        <f>+BD!AA9</f>
        <v>0</v>
      </c>
      <c r="B8" s="17" t="str">
        <f>IF(A8=0,"",VLOOKUP(+VLOOKUP(A8,Tabla3[],'Registro de Operaciones'!$F$6,FALSE),DOI_Tipo,2,FALSE))</f>
        <v/>
      </c>
      <c r="C8" s="19" t="str">
        <f>IF(A8=0,"",+VLOOKUP(A8,Tabla3[#All],'Registro de Operaciones'!$G$6,FALSE))</f>
        <v/>
      </c>
      <c r="D8" s="18" t="str">
        <f>IF(A8=0,"",VLOOKUP(+VLOOKUP(A8,Tabla3[],'Registro de Operaciones'!$N$6,FALSE),Tipo_Abono,2,FALSE))</f>
        <v/>
      </c>
      <c r="E8" s="19" t="str">
        <f>IF(A8=0,"",+VLOOKUP(A8,Tabla3[],'Registro de Operaciones'!$O$6,FALSE))</f>
        <v/>
      </c>
      <c r="F8" s="19" t="str">
        <f>IF(A8=0,"",+VLOOKUP(A8,Tabla3[],'Registro de Operaciones'!$H$6,FALSE))</f>
        <v/>
      </c>
      <c r="G8" s="32" t="str">
        <f>IF(A8=0,"",ROUND(+VLOOKUP(A8,Tabla3[],'Registro de Operaciones'!$X$6,FALSE),2))</f>
        <v/>
      </c>
      <c r="H8" s="20" t="str">
        <f>IF(A8=0,"",VLOOKUP(+VLOOKUP(A8,Tabla3[],'Registro de Operaciones'!$I$6,FALSE),Tipo_Recibo,2,FALSE))</f>
        <v/>
      </c>
      <c r="I8" s="19" t="str">
        <f>IF(A8=0,"",+VLOOKUP(A8,Tabla3[],'Registro de Operaciones'!$J$6,FALSE))</f>
        <v/>
      </c>
      <c r="J8" s="20" t="str">
        <f t="shared" si="4"/>
        <v/>
      </c>
      <c r="K8" s="19" t="str">
        <f>IF(A8=0,"",+VLOOKUP(A8,Tabla3[],'Registro de Operaciones'!$L$6,FALSE))</f>
        <v/>
      </c>
      <c r="L8" s="20" t="str">
        <f t="shared" si="5"/>
        <v/>
      </c>
      <c r="M8" s="88" t="str">
        <f>IF(A8=0,"",+VLOOKUP(A8,Tabla3[],'Registro de Operaciones'!$E$6,FALSE))</f>
        <v/>
      </c>
      <c r="N8" s="19" t="str">
        <f t="shared" si="6"/>
        <v/>
      </c>
      <c r="Q8">
        <f t="shared" si="3"/>
        <v>0</v>
      </c>
      <c r="R8" t="s">
        <v>311</v>
      </c>
      <c r="S8" t="s">
        <v>311</v>
      </c>
      <c r="T8" t="s">
        <v>311</v>
      </c>
      <c r="U8" t="s">
        <v>311</v>
      </c>
      <c r="V8" t="s">
        <v>311</v>
      </c>
      <c r="W8" s="16" t="s">
        <v>311</v>
      </c>
      <c r="X8" t="s">
        <v>311</v>
      </c>
      <c r="Y8" t="s">
        <v>311</v>
      </c>
      <c r="Z8" t="s">
        <v>311</v>
      </c>
      <c r="AA8" t="s">
        <v>311</v>
      </c>
      <c r="AB8" t="s">
        <v>311</v>
      </c>
      <c r="AC8" t="s">
        <v>311</v>
      </c>
      <c r="AD8" t="s">
        <v>311</v>
      </c>
    </row>
    <row r="9" spans="1:30" x14ac:dyDescent="0.25">
      <c r="A9" s="29">
        <f>+BD!AA10</f>
        <v>0</v>
      </c>
      <c r="B9" s="17" t="str">
        <f>IF(A9=0,"",VLOOKUP(+VLOOKUP(A9,Tabla3[],'Registro de Operaciones'!$F$6,FALSE),DOI_Tipo,2,FALSE))</f>
        <v/>
      </c>
      <c r="C9" s="19" t="str">
        <f>IF(A9=0,"",+VLOOKUP(A9,Tabla3[#All],'Registro de Operaciones'!$G$6,FALSE))</f>
        <v/>
      </c>
      <c r="D9" s="18" t="str">
        <f>IF(A9=0,"",VLOOKUP(+VLOOKUP(A9,Tabla3[],'Registro de Operaciones'!$N$6,FALSE),Tipo_Abono,2,FALSE))</f>
        <v/>
      </c>
      <c r="E9" s="19" t="str">
        <f>IF(A9=0,"",+VLOOKUP(A9,Tabla3[],'Registro de Operaciones'!$O$6,FALSE))</f>
        <v/>
      </c>
      <c r="F9" s="19" t="str">
        <f>IF(A9=0,"",+VLOOKUP(A9,Tabla3[],'Registro de Operaciones'!$H$6,FALSE))</f>
        <v/>
      </c>
      <c r="G9" s="32" t="str">
        <f>IF(A9=0,"",ROUND(+VLOOKUP(A9,Tabla3[],'Registro de Operaciones'!$X$6,FALSE),2))</f>
        <v/>
      </c>
      <c r="H9" s="20" t="str">
        <f>IF(A9=0,"",VLOOKUP(+VLOOKUP(A9,Tabla3[],'Registro de Operaciones'!$I$6,FALSE),Tipo_Recibo,2,FALSE))</f>
        <v/>
      </c>
      <c r="I9" s="19" t="str">
        <f>IF(A9=0,"",+VLOOKUP(A9,Tabla3[],'Registro de Operaciones'!$J$6,FALSE))</f>
        <v/>
      </c>
      <c r="J9" s="20" t="str">
        <f t="shared" si="4"/>
        <v/>
      </c>
      <c r="K9" s="19" t="str">
        <f>IF(A9=0,"",+VLOOKUP(A9,Tabla3[],'Registro de Operaciones'!$L$6,FALSE))</f>
        <v/>
      </c>
      <c r="L9" s="20" t="str">
        <f t="shared" si="5"/>
        <v/>
      </c>
      <c r="M9" s="88" t="str">
        <f>IF(A9=0,"",+VLOOKUP(A9,Tabla3[],'Registro de Operaciones'!$E$6,FALSE))</f>
        <v/>
      </c>
      <c r="N9" s="19" t="str">
        <f t="shared" si="6"/>
        <v/>
      </c>
      <c r="Q9">
        <f t="shared" si="3"/>
        <v>0</v>
      </c>
      <c r="R9" t="s">
        <v>311</v>
      </c>
      <c r="S9" t="s">
        <v>311</v>
      </c>
      <c r="T9" t="s">
        <v>311</v>
      </c>
      <c r="U9" t="s">
        <v>311</v>
      </c>
      <c r="V9" t="s">
        <v>311</v>
      </c>
      <c r="W9" s="16" t="s">
        <v>311</v>
      </c>
      <c r="X9" t="s">
        <v>311</v>
      </c>
      <c r="Y9" t="s">
        <v>311</v>
      </c>
      <c r="Z9" t="s">
        <v>311</v>
      </c>
      <c r="AA9" t="s">
        <v>311</v>
      </c>
      <c r="AB9" t="s">
        <v>311</v>
      </c>
      <c r="AC9" t="s">
        <v>311</v>
      </c>
      <c r="AD9" t="s">
        <v>311</v>
      </c>
    </row>
    <row r="10" spans="1:30" x14ac:dyDescent="0.25">
      <c r="A10" s="29">
        <f>+BD!AA11</f>
        <v>0</v>
      </c>
      <c r="B10" s="17" t="str">
        <f>IF(A10=0,"",VLOOKUP(+VLOOKUP(A10,Tabla3[],'Registro de Operaciones'!$F$6,FALSE),DOI_Tipo,2,FALSE))</f>
        <v/>
      </c>
      <c r="C10" s="19" t="str">
        <f>IF(A10=0,"",+VLOOKUP(A10,Tabla3[#All],'Registro de Operaciones'!$G$6,FALSE))</f>
        <v/>
      </c>
      <c r="D10" s="18" t="str">
        <f>IF(A10=0,"",VLOOKUP(+VLOOKUP(A10,Tabla3[],'Registro de Operaciones'!$N$6,FALSE),Tipo_Abono,2,FALSE))</f>
        <v/>
      </c>
      <c r="E10" s="19" t="str">
        <f>IF(A10=0,"",+VLOOKUP(A10,Tabla3[],'Registro de Operaciones'!$O$6,FALSE))</f>
        <v/>
      </c>
      <c r="F10" s="19" t="str">
        <f>IF(A10=0,"",+VLOOKUP(A10,Tabla3[],'Registro de Operaciones'!$H$6,FALSE))</f>
        <v/>
      </c>
      <c r="G10" s="32" t="str">
        <f>IF(A10=0,"",ROUND(+VLOOKUP(A10,Tabla3[],'Registro de Operaciones'!$X$6,FALSE),2))</f>
        <v/>
      </c>
      <c r="H10" s="20" t="str">
        <f>IF(A10=0,"",VLOOKUP(+VLOOKUP(A10,Tabla3[],'Registro de Operaciones'!$I$6,FALSE),Tipo_Recibo,2,FALSE))</f>
        <v/>
      </c>
      <c r="I10" s="19" t="str">
        <f>IF(A10=0,"",+VLOOKUP(A10,Tabla3[],'Registro de Operaciones'!$J$6,FALSE))</f>
        <v/>
      </c>
      <c r="J10" s="20" t="str">
        <f t="shared" si="4"/>
        <v/>
      </c>
      <c r="K10" s="19" t="str">
        <f>IF(A10=0,"",+VLOOKUP(A10,Tabla3[],'Registro de Operaciones'!$L$6,FALSE))</f>
        <v/>
      </c>
      <c r="L10" s="20" t="str">
        <f t="shared" si="5"/>
        <v/>
      </c>
      <c r="M10" s="88" t="str">
        <f>IF(A10=0,"",+VLOOKUP(A10,Tabla3[],'Registro de Operaciones'!$E$6,FALSE))</f>
        <v/>
      </c>
      <c r="N10" s="19" t="str">
        <f t="shared" si="6"/>
        <v/>
      </c>
      <c r="Q10">
        <f t="shared" si="3"/>
        <v>0</v>
      </c>
      <c r="R10" t="s">
        <v>311</v>
      </c>
      <c r="S10" t="s">
        <v>311</v>
      </c>
      <c r="T10" t="s">
        <v>311</v>
      </c>
      <c r="U10" t="s">
        <v>311</v>
      </c>
      <c r="V10" t="s">
        <v>311</v>
      </c>
      <c r="W10" t="s">
        <v>311</v>
      </c>
      <c r="X10" t="s">
        <v>311</v>
      </c>
      <c r="Y10" t="s">
        <v>311</v>
      </c>
      <c r="Z10" t="s">
        <v>311</v>
      </c>
      <c r="AA10" t="s">
        <v>311</v>
      </c>
      <c r="AB10" t="s">
        <v>311</v>
      </c>
      <c r="AC10" t="s">
        <v>311</v>
      </c>
      <c r="AD10" t="s">
        <v>311</v>
      </c>
    </row>
    <row r="11" spans="1:30" x14ac:dyDescent="0.25">
      <c r="A11" s="29">
        <f>+BD!AA12</f>
        <v>0</v>
      </c>
      <c r="B11" s="17" t="str">
        <f>IF(A11=0,"",VLOOKUP(+VLOOKUP(A11,Tabla3[],'Registro de Operaciones'!$F$6,FALSE),DOI_Tipo,2,FALSE))</f>
        <v/>
      </c>
      <c r="C11" s="19" t="str">
        <f>IF(A11=0,"",+VLOOKUP(A11,Tabla3[#All],'Registro de Operaciones'!$G$6,FALSE))</f>
        <v/>
      </c>
      <c r="D11" s="18" t="str">
        <f>IF(A11=0,"",VLOOKUP(+VLOOKUP(A11,Tabla3[],'Registro de Operaciones'!$N$6,FALSE),Tipo_Abono,2,FALSE))</f>
        <v/>
      </c>
      <c r="E11" s="19" t="str">
        <f>IF(A11=0,"",+VLOOKUP(A11,Tabla3[],'Registro de Operaciones'!$O$6,FALSE))</f>
        <v/>
      </c>
      <c r="F11" s="19" t="str">
        <f>IF(A11=0,"",+VLOOKUP(A11,Tabla3[],'Registro de Operaciones'!$H$6,FALSE))</f>
        <v/>
      </c>
      <c r="G11" s="32" t="str">
        <f>IF(A11=0,"",ROUND(+VLOOKUP(A11,Tabla3[],'Registro de Operaciones'!$X$6,FALSE),2))</f>
        <v/>
      </c>
      <c r="H11" s="20" t="str">
        <f>IF(A11=0,"",VLOOKUP(+VLOOKUP(A11,Tabla3[],'Registro de Operaciones'!$I$6,FALSE),Tipo_Recibo,2,FALSE))</f>
        <v/>
      </c>
      <c r="I11" s="19" t="str">
        <f>IF(A11=0,"",+VLOOKUP(A11,Tabla3[],'Registro de Operaciones'!$J$6,FALSE))</f>
        <v/>
      </c>
      <c r="J11" s="20" t="str">
        <f t="shared" si="4"/>
        <v/>
      </c>
      <c r="K11" s="19" t="str">
        <f>IF(A11=0,"",+VLOOKUP(A11,Tabla3[],'Registro de Operaciones'!$L$6,FALSE))</f>
        <v/>
      </c>
      <c r="L11" s="20" t="str">
        <f t="shared" si="5"/>
        <v/>
      </c>
      <c r="M11" s="88" t="str">
        <f>IF(A11=0,"",+VLOOKUP(A11,Tabla3[],'Registro de Operaciones'!$E$6,FALSE))</f>
        <v/>
      </c>
      <c r="N11" s="19" t="str">
        <f t="shared" si="6"/>
        <v/>
      </c>
      <c r="Q11">
        <f t="shared" si="3"/>
        <v>0</v>
      </c>
      <c r="R11" t="s">
        <v>311</v>
      </c>
      <c r="S11" t="s">
        <v>311</v>
      </c>
      <c r="T11" t="s">
        <v>311</v>
      </c>
      <c r="U11" t="s">
        <v>311</v>
      </c>
      <c r="V11" t="s">
        <v>311</v>
      </c>
      <c r="W11" t="s">
        <v>311</v>
      </c>
      <c r="X11" t="s">
        <v>311</v>
      </c>
      <c r="Y11" t="s">
        <v>311</v>
      </c>
      <c r="Z11" t="s">
        <v>311</v>
      </c>
      <c r="AA11" t="s">
        <v>311</v>
      </c>
      <c r="AB11" t="s">
        <v>311</v>
      </c>
      <c r="AC11" t="s">
        <v>311</v>
      </c>
      <c r="AD11" t="s">
        <v>311</v>
      </c>
    </row>
    <row r="12" spans="1:30" x14ac:dyDescent="0.25">
      <c r="A12" s="29">
        <f>+BD!AA13</f>
        <v>0</v>
      </c>
      <c r="B12" s="17" t="str">
        <f>IF(A12=0,"",VLOOKUP(+VLOOKUP(A12,Tabla3[],'Registro de Operaciones'!$F$6,FALSE),DOI_Tipo,2,FALSE))</f>
        <v/>
      </c>
      <c r="C12" s="19" t="str">
        <f>IF(A12=0,"",+VLOOKUP(A12,Tabla3[#All],'Registro de Operaciones'!$G$6,FALSE))</f>
        <v/>
      </c>
      <c r="D12" s="18" t="str">
        <f>IF(A12=0,"",VLOOKUP(+VLOOKUP(A12,Tabla3[],'Registro de Operaciones'!$N$6,FALSE),Tipo_Abono,2,FALSE))</f>
        <v/>
      </c>
      <c r="E12" s="19" t="str">
        <f>IF(A12=0,"",+VLOOKUP(A12,Tabla3[],'Registro de Operaciones'!$O$6,FALSE))</f>
        <v/>
      </c>
      <c r="F12" s="19" t="str">
        <f>IF(A12=0,"",+VLOOKUP(A12,Tabla3[],'Registro de Operaciones'!$H$6,FALSE))</f>
        <v/>
      </c>
      <c r="G12" s="32" t="str">
        <f>IF(A12=0,"",ROUND(+VLOOKUP(A12,Tabla3[],'Registro de Operaciones'!$X$6,FALSE),2))</f>
        <v/>
      </c>
      <c r="H12" s="20" t="str">
        <f>IF(A12=0,"",VLOOKUP(+VLOOKUP(A12,Tabla3[],'Registro de Operaciones'!$I$6,FALSE),Tipo_Recibo,2,FALSE))</f>
        <v/>
      </c>
      <c r="I12" s="19" t="str">
        <f>IF(A12=0,"",+VLOOKUP(A12,Tabla3[],'Registro de Operaciones'!$J$6,FALSE))</f>
        <v/>
      </c>
      <c r="J12" s="20" t="str">
        <f t="shared" si="4"/>
        <v/>
      </c>
      <c r="K12" s="19" t="str">
        <f>IF(A12=0,"",+VLOOKUP(A12,Tabla3[],'Registro de Operaciones'!$L$6,FALSE))</f>
        <v/>
      </c>
      <c r="L12" s="20" t="str">
        <f t="shared" si="5"/>
        <v/>
      </c>
      <c r="M12" s="88" t="str">
        <f>IF(A12=0,"",+VLOOKUP(A12,Tabla3[],'Registro de Operaciones'!$E$6,FALSE))</f>
        <v/>
      </c>
      <c r="N12" s="19" t="str">
        <f t="shared" si="6"/>
        <v/>
      </c>
      <c r="Q12">
        <f t="shared" si="3"/>
        <v>0</v>
      </c>
      <c r="R12" t="s">
        <v>311</v>
      </c>
      <c r="S12" t="s">
        <v>311</v>
      </c>
      <c r="T12" t="s">
        <v>311</v>
      </c>
      <c r="U12" t="s">
        <v>311</v>
      </c>
      <c r="V12" t="s">
        <v>311</v>
      </c>
      <c r="W12" t="s">
        <v>311</v>
      </c>
      <c r="X12" t="s">
        <v>311</v>
      </c>
      <c r="Y12" t="s">
        <v>311</v>
      </c>
      <c r="Z12" t="s">
        <v>311</v>
      </c>
      <c r="AA12" t="s">
        <v>311</v>
      </c>
      <c r="AB12" t="s">
        <v>311</v>
      </c>
      <c r="AC12" t="s">
        <v>311</v>
      </c>
      <c r="AD12" t="s">
        <v>311</v>
      </c>
    </row>
    <row r="13" spans="1:30" x14ac:dyDescent="0.25">
      <c r="A13" s="29">
        <f>+BD!AA14</f>
        <v>0</v>
      </c>
      <c r="B13" s="17" t="str">
        <f>IF(A13=0,"",VLOOKUP(+VLOOKUP(A13,Tabla3[],'Registro de Operaciones'!$F$6,FALSE),DOI_Tipo,2,FALSE))</f>
        <v/>
      </c>
      <c r="C13" s="19" t="str">
        <f>IF(A13=0,"",+VLOOKUP(A13,Tabla3[#All],'Registro de Operaciones'!$G$6,FALSE))</f>
        <v/>
      </c>
      <c r="D13" s="18" t="str">
        <f>IF(A13=0,"",VLOOKUP(+VLOOKUP(A13,Tabla3[],'Registro de Operaciones'!$N$6,FALSE),Tipo_Abono,2,FALSE))</f>
        <v/>
      </c>
      <c r="E13" s="19" t="str">
        <f>IF(A13=0,"",+VLOOKUP(A13,Tabla3[],'Registro de Operaciones'!$O$6,FALSE))</f>
        <v/>
      </c>
      <c r="F13" s="19" t="str">
        <f>IF(A13=0,"",+VLOOKUP(A13,Tabla3[],'Registro de Operaciones'!$H$6,FALSE))</f>
        <v/>
      </c>
      <c r="G13" s="32" t="str">
        <f>IF(A13=0,"",ROUND(+VLOOKUP(A13,Tabla3[],'Registro de Operaciones'!$X$6,FALSE),2))</f>
        <v/>
      </c>
      <c r="H13" s="20" t="str">
        <f>IF(A13=0,"",VLOOKUP(+VLOOKUP(A13,Tabla3[],'Registro de Operaciones'!$I$6,FALSE),Tipo_Recibo,2,FALSE))</f>
        <v/>
      </c>
      <c r="I13" s="19" t="str">
        <f>IF(A13=0,"",+VLOOKUP(A13,Tabla3[],'Registro de Operaciones'!$J$6,FALSE))</f>
        <v/>
      </c>
      <c r="J13" s="20" t="str">
        <f t="shared" si="4"/>
        <v/>
      </c>
      <c r="K13" s="19" t="str">
        <f>IF(A13=0,"",+VLOOKUP(A13,Tabla3[],'Registro de Operaciones'!$L$6,FALSE))</f>
        <v/>
      </c>
      <c r="L13" s="20" t="str">
        <f t="shared" si="5"/>
        <v/>
      </c>
      <c r="M13" s="88" t="str">
        <f>IF(A13=0,"",+VLOOKUP(A13,Tabla3[],'Registro de Operaciones'!$E$6,FALSE))</f>
        <v/>
      </c>
      <c r="N13" s="19" t="str">
        <f t="shared" si="6"/>
        <v/>
      </c>
      <c r="Q13">
        <f t="shared" si="3"/>
        <v>0</v>
      </c>
      <c r="R13" t="s">
        <v>311</v>
      </c>
      <c r="S13" t="s">
        <v>311</v>
      </c>
      <c r="T13" t="s">
        <v>311</v>
      </c>
      <c r="U13" t="s">
        <v>311</v>
      </c>
      <c r="V13" t="s">
        <v>311</v>
      </c>
      <c r="W13" t="s">
        <v>311</v>
      </c>
      <c r="X13" t="s">
        <v>311</v>
      </c>
      <c r="Y13" t="s">
        <v>311</v>
      </c>
      <c r="Z13" t="s">
        <v>311</v>
      </c>
      <c r="AA13" t="s">
        <v>311</v>
      </c>
      <c r="AB13" t="s">
        <v>311</v>
      </c>
      <c r="AC13" t="s">
        <v>311</v>
      </c>
      <c r="AD13" t="s">
        <v>311</v>
      </c>
    </row>
    <row r="14" spans="1:30" x14ac:dyDescent="0.25">
      <c r="A14" s="29">
        <f>+BD!AA15</f>
        <v>0</v>
      </c>
      <c r="B14" s="17" t="str">
        <f>IF(A14=0,"",VLOOKUP(+VLOOKUP(A14,Tabla3[],'Registro de Operaciones'!$F$6,FALSE),DOI_Tipo,2,FALSE))</f>
        <v/>
      </c>
      <c r="C14" s="19" t="str">
        <f>IF(A14=0,"",+VLOOKUP(A14,Tabla3[#All],'Registro de Operaciones'!$G$6,FALSE))</f>
        <v/>
      </c>
      <c r="D14" s="18" t="str">
        <f>IF(A14=0,"",VLOOKUP(+VLOOKUP(A14,Tabla3[],'Registro de Operaciones'!$N$6,FALSE),Tipo_Abono,2,FALSE))</f>
        <v/>
      </c>
      <c r="E14" s="19" t="str">
        <f>IF(A14=0,"",+VLOOKUP(A14,Tabla3[],'Registro de Operaciones'!$O$6,FALSE))</f>
        <v/>
      </c>
      <c r="F14" s="19" t="str">
        <f>IF(A14=0,"",+VLOOKUP(A14,Tabla3[],'Registro de Operaciones'!$H$6,FALSE))</f>
        <v/>
      </c>
      <c r="G14" s="32" t="str">
        <f>IF(A14=0,"",ROUND(+VLOOKUP(A14,Tabla3[],'Registro de Operaciones'!$X$6,FALSE),2))</f>
        <v/>
      </c>
      <c r="H14" s="20" t="str">
        <f>IF(A14=0,"",VLOOKUP(+VLOOKUP(A14,Tabla3[],'Registro de Operaciones'!$I$6,FALSE),Tipo_Recibo,2,FALSE))</f>
        <v/>
      </c>
      <c r="I14" s="19" t="str">
        <f>IF(A14=0,"",+VLOOKUP(A14,Tabla3[],'Registro de Operaciones'!$J$6,FALSE))</f>
        <v/>
      </c>
      <c r="J14" s="20" t="str">
        <f t="shared" si="4"/>
        <v/>
      </c>
      <c r="K14" s="19" t="str">
        <f>IF(A14=0,"",+VLOOKUP(A14,Tabla3[],'Registro de Operaciones'!$L$6,FALSE))</f>
        <v/>
      </c>
      <c r="L14" s="20" t="str">
        <f t="shared" si="5"/>
        <v/>
      </c>
      <c r="M14" s="88" t="str">
        <f>IF(A14=0,"",+VLOOKUP(A14,Tabla3[],'Registro de Operaciones'!$E$6,FALSE))</f>
        <v/>
      </c>
      <c r="N14" s="19" t="str">
        <f t="shared" si="6"/>
        <v/>
      </c>
      <c r="Q14">
        <f t="shared" si="3"/>
        <v>0</v>
      </c>
      <c r="R14" t="s">
        <v>311</v>
      </c>
      <c r="S14" t="s">
        <v>311</v>
      </c>
      <c r="T14" t="s">
        <v>311</v>
      </c>
      <c r="U14" t="s">
        <v>311</v>
      </c>
      <c r="V14" t="s">
        <v>311</v>
      </c>
      <c r="W14" t="s">
        <v>311</v>
      </c>
      <c r="X14" t="s">
        <v>311</v>
      </c>
      <c r="Y14" t="s">
        <v>311</v>
      </c>
      <c r="Z14" t="s">
        <v>311</v>
      </c>
      <c r="AA14" t="s">
        <v>311</v>
      </c>
      <c r="AB14" t="s">
        <v>311</v>
      </c>
      <c r="AC14" t="s">
        <v>311</v>
      </c>
      <c r="AD14" t="s">
        <v>311</v>
      </c>
    </row>
    <row r="15" spans="1:30" x14ac:dyDescent="0.25">
      <c r="A15" s="29">
        <f>+BD!AA16</f>
        <v>0</v>
      </c>
      <c r="B15" s="17" t="str">
        <f>IF(A15=0,"",VLOOKUP(+VLOOKUP(A15,Tabla3[],'Registro de Operaciones'!$F$6,FALSE),DOI_Tipo,2,FALSE))</f>
        <v/>
      </c>
      <c r="C15" s="19" t="str">
        <f>IF(A15=0,"",+VLOOKUP(A15,Tabla3[#All],'Registro de Operaciones'!$G$6,FALSE))</f>
        <v/>
      </c>
      <c r="D15" s="18" t="str">
        <f>IF(A15=0,"",VLOOKUP(+VLOOKUP(A15,Tabla3[],'Registro de Operaciones'!$N$6,FALSE),Tipo_Abono,2,FALSE))</f>
        <v/>
      </c>
      <c r="E15" s="19" t="str">
        <f>IF(A15=0,"",+VLOOKUP(A15,Tabla3[],'Registro de Operaciones'!$O$6,FALSE))</f>
        <v/>
      </c>
      <c r="F15" s="19" t="str">
        <f>IF(A15=0,"",+VLOOKUP(A15,Tabla3[],'Registro de Operaciones'!$H$6,FALSE))</f>
        <v/>
      </c>
      <c r="G15" s="32" t="str">
        <f>IF(A15=0,"",ROUND(+VLOOKUP(A15,Tabla3[],'Registro de Operaciones'!$X$6,FALSE),2))</f>
        <v/>
      </c>
      <c r="H15" s="20" t="str">
        <f>IF(A15=0,"",VLOOKUP(+VLOOKUP(A15,Tabla3[],'Registro de Operaciones'!$I$6,FALSE),Tipo_Recibo,2,FALSE))</f>
        <v/>
      </c>
      <c r="I15" s="19" t="str">
        <f>IF(A15=0,"",+VLOOKUP(A15,Tabla3[],'Registro de Operaciones'!$J$6,FALSE))</f>
        <v/>
      </c>
      <c r="J15" s="20" t="str">
        <f t="shared" si="4"/>
        <v/>
      </c>
      <c r="K15" s="19" t="str">
        <f>IF(A15=0,"",+VLOOKUP(A15,Tabla3[],'Registro de Operaciones'!$L$6,FALSE))</f>
        <v/>
      </c>
      <c r="L15" s="20" t="str">
        <f t="shared" si="5"/>
        <v/>
      </c>
      <c r="M15" s="88" t="str">
        <f>IF(A15=0,"",+VLOOKUP(A15,Tabla3[],'Registro de Operaciones'!$E$6,FALSE))</f>
        <v/>
      </c>
      <c r="N15" s="19" t="str">
        <f t="shared" si="6"/>
        <v/>
      </c>
      <c r="Q15">
        <f t="shared" si="3"/>
        <v>0</v>
      </c>
      <c r="R15" t="s">
        <v>311</v>
      </c>
      <c r="S15" t="s">
        <v>311</v>
      </c>
      <c r="T15" t="s">
        <v>311</v>
      </c>
      <c r="U15" t="s">
        <v>311</v>
      </c>
      <c r="V15" t="s">
        <v>311</v>
      </c>
      <c r="W15" t="s">
        <v>311</v>
      </c>
      <c r="X15" t="s">
        <v>311</v>
      </c>
      <c r="Y15" t="s">
        <v>311</v>
      </c>
      <c r="Z15" t="s">
        <v>311</v>
      </c>
      <c r="AA15" t="s">
        <v>311</v>
      </c>
      <c r="AB15" t="s">
        <v>311</v>
      </c>
      <c r="AC15" t="s">
        <v>311</v>
      </c>
      <c r="AD15" t="s">
        <v>311</v>
      </c>
    </row>
    <row r="16" spans="1:30" x14ac:dyDescent="0.25">
      <c r="A16" s="29">
        <f>+BD!AA17</f>
        <v>0</v>
      </c>
      <c r="B16" s="17" t="str">
        <f>IF(A16=0,"",VLOOKUP(+VLOOKUP(A16,Tabla3[],'Registro de Operaciones'!$F$6,FALSE),DOI_Tipo,2,FALSE))</f>
        <v/>
      </c>
      <c r="C16" s="19" t="str">
        <f>IF(A16=0,"",+VLOOKUP(A16,Tabla3[#All],'Registro de Operaciones'!$G$6,FALSE))</f>
        <v/>
      </c>
      <c r="D16" s="18" t="str">
        <f>IF(A16=0,"",VLOOKUP(+VLOOKUP(A16,Tabla3[],'Registro de Operaciones'!$N$6,FALSE),Tipo_Abono,2,FALSE))</f>
        <v/>
      </c>
      <c r="E16" s="19" t="str">
        <f>IF(A16=0,"",+VLOOKUP(A16,Tabla3[],'Registro de Operaciones'!$O$6,FALSE))</f>
        <v/>
      </c>
      <c r="F16" s="19" t="str">
        <f>IF(A16=0,"",+VLOOKUP(A16,Tabla3[],'Registro de Operaciones'!$H$6,FALSE))</f>
        <v/>
      </c>
      <c r="G16" s="32" t="str">
        <f>IF(A16=0,"",ROUND(+VLOOKUP(A16,Tabla3[],'Registro de Operaciones'!$X$6,FALSE),2))</f>
        <v/>
      </c>
      <c r="H16" s="20" t="str">
        <f>IF(A16=0,"",VLOOKUP(+VLOOKUP(A16,Tabla3[],'Registro de Operaciones'!$I$6,FALSE),Tipo_Recibo,2,FALSE))</f>
        <v/>
      </c>
      <c r="I16" s="19" t="str">
        <f>IF(A16=0,"",+VLOOKUP(A16,Tabla3[],'Registro de Operaciones'!$J$6,FALSE))</f>
        <v/>
      </c>
      <c r="J16" s="20" t="str">
        <f t="shared" si="4"/>
        <v/>
      </c>
      <c r="K16" s="19" t="str">
        <f>IF(A16=0,"",+VLOOKUP(A16,Tabla3[],'Registro de Operaciones'!$L$6,FALSE))</f>
        <v/>
      </c>
      <c r="L16" s="20" t="str">
        <f t="shared" si="5"/>
        <v/>
      </c>
      <c r="M16" s="88" t="str">
        <f>IF(A16=0,"",+VLOOKUP(A16,Tabla3[],'Registro de Operaciones'!$E$6,FALSE))</f>
        <v/>
      </c>
      <c r="N16" s="19" t="str">
        <f t="shared" si="6"/>
        <v/>
      </c>
      <c r="Q16">
        <f t="shared" si="3"/>
        <v>0</v>
      </c>
      <c r="R16" t="s">
        <v>311</v>
      </c>
      <c r="S16" t="s">
        <v>311</v>
      </c>
      <c r="T16" t="s">
        <v>311</v>
      </c>
      <c r="U16" t="s">
        <v>311</v>
      </c>
      <c r="V16" t="s">
        <v>311</v>
      </c>
      <c r="W16" t="s">
        <v>311</v>
      </c>
      <c r="X16" t="s">
        <v>311</v>
      </c>
      <c r="Y16" t="s">
        <v>311</v>
      </c>
      <c r="Z16" t="s">
        <v>311</v>
      </c>
      <c r="AA16" t="s">
        <v>311</v>
      </c>
      <c r="AB16" t="s">
        <v>311</v>
      </c>
      <c r="AC16" t="s">
        <v>311</v>
      </c>
      <c r="AD16" t="s">
        <v>311</v>
      </c>
    </row>
    <row r="17" spans="1:30" x14ac:dyDescent="0.25">
      <c r="A17" s="29">
        <f>+BD!AA18</f>
        <v>0</v>
      </c>
      <c r="B17" s="17" t="str">
        <f>IF(A17=0,"",VLOOKUP(+VLOOKUP(A17,Tabla3[],'Registro de Operaciones'!$F$6,FALSE),DOI_Tipo,2,FALSE))</f>
        <v/>
      </c>
      <c r="C17" s="19" t="str">
        <f>IF(A17=0,"",+VLOOKUP(A17,Tabla3[#All],'Registro de Operaciones'!$G$6,FALSE))</f>
        <v/>
      </c>
      <c r="D17" s="18" t="str">
        <f>IF(A17=0,"",VLOOKUP(+VLOOKUP(A17,Tabla3[],'Registro de Operaciones'!$N$6,FALSE),Tipo_Abono,2,FALSE))</f>
        <v/>
      </c>
      <c r="E17" s="19" t="str">
        <f>IF(A17=0,"",+VLOOKUP(A17,Tabla3[],'Registro de Operaciones'!$O$6,FALSE))</f>
        <v/>
      </c>
      <c r="F17" s="19" t="str">
        <f>IF(A17=0,"",+VLOOKUP(A17,Tabla3[],'Registro de Operaciones'!$H$6,FALSE))</f>
        <v/>
      </c>
      <c r="G17" s="32" t="str">
        <f>IF(A17=0,"",ROUND(+VLOOKUP(A17,Tabla3[],'Registro de Operaciones'!$X$6,FALSE),2))</f>
        <v/>
      </c>
      <c r="H17" s="20" t="str">
        <f>IF(A17=0,"",VLOOKUP(+VLOOKUP(A17,Tabla3[],'Registro de Operaciones'!$I$6,FALSE),Tipo_Recibo,2,FALSE))</f>
        <v/>
      </c>
      <c r="I17" s="19" t="str">
        <f>IF(A17=0,"",+VLOOKUP(A17,Tabla3[],'Registro de Operaciones'!$J$6,FALSE))</f>
        <v/>
      </c>
      <c r="J17" s="20" t="str">
        <f t="shared" si="4"/>
        <v/>
      </c>
      <c r="K17" s="19" t="str">
        <f>IF(A17=0,"",+VLOOKUP(A17,Tabla3[],'Registro de Operaciones'!$L$6,FALSE))</f>
        <v/>
      </c>
      <c r="L17" s="20" t="str">
        <f t="shared" si="5"/>
        <v/>
      </c>
      <c r="M17" s="88" t="str">
        <f>IF(A17=0,"",+VLOOKUP(A17,Tabla3[],'Registro de Operaciones'!$E$6,FALSE))</f>
        <v/>
      </c>
      <c r="N17" s="19" t="str">
        <f t="shared" si="6"/>
        <v/>
      </c>
      <c r="Q17">
        <f t="shared" si="3"/>
        <v>0</v>
      </c>
      <c r="R17" t="s">
        <v>311</v>
      </c>
      <c r="S17" t="s">
        <v>311</v>
      </c>
      <c r="T17" t="s">
        <v>311</v>
      </c>
      <c r="U17" t="s">
        <v>311</v>
      </c>
      <c r="V17" t="s">
        <v>311</v>
      </c>
      <c r="W17" t="s">
        <v>311</v>
      </c>
      <c r="X17" t="s">
        <v>311</v>
      </c>
      <c r="Y17" t="s">
        <v>311</v>
      </c>
      <c r="Z17" t="s">
        <v>311</v>
      </c>
      <c r="AA17" t="s">
        <v>311</v>
      </c>
      <c r="AB17" t="s">
        <v>311</v>
      </c>
      <c r="AC17" t="s">
        <v>311</v>
      </c>
      <c r="AD17" t="s">
        <v>311</v>
      </c>
    </row>
    <row r="18" spans="1:30" x14ac:dyDescent="0.25">
      <c r="A18" s="29">
        <f>+BD!AA19</f>
        <v>0</v>
      </c>
      <c r="B18" s="17" t="str">
        <f>IF(A18=0,"",VLOOKUP(+VLOOKUP(A18,Tabla3[],'Registro de Operaciones'!$F$6,FALSE),DOI_Tipo,2,FALSE))</f>
        <v/>
      </c>
      <c r="C18" s="19" t="str">
        <f>IF(A18=0,"",+VLOOKUP(A18,Tabla3[#All],'Registro de Operaciones'!$G$6,FALSE))</f>
        <v/>
      </c>
      <c r="D18" s="18" t="str">
        <f>IF(A18=0,"",VLOOKUP(+VLOOKUP(A18,Tabla3[],'Registro de Operaciones'!$N$6,FALSE),Tipo_Abono,2,FALSE))</f>
        <v/>
      </c>
      <c r="E18" s="19" t="str">
        <f>IF(A18=0,"",+VLOOKUP(A18,Tabla3[],'Registro de Operaciones'!$O$6,FALSE))</f>
        <v/>
      </c>
      <c r="F18" s="19" t="str">
        <f>IF(A18=0,"",+VLOOKUP(A18,Tabla3[],'Registro de Operaciones'!$H$6,FALSE))</f>
        <v/>
      </c>
      <c r="G18" s="32" t="str">
        <f>IF(A18=0,"",ROUND(+VLOOKUP(A18,Tabla3[],'Registro de Operaciones'!$X$6,FALSE),2))</f>
        <v/>
      </c>
      <c r="H18" s="20" t="str">
        <f>IF(A18=0,"",VLOOKUP(+VLOOKUP(A18,Tabla3[],'Registro de Operaciones'!$I$6,FALSE),Tipo_Recibo,2,FALSE))</f>
        <v/>
      </c>
      <c r="I18" s="19" t="str">
        <f>IF(A18=0,"",+VLOOKUP(A18,Tabla3[],'Registro de Operaciones'!$J$6,FALSE))</f>
        <v/>
      </c>
      <c r="J18" s="20" t="str">
        <f t="shared" si="4"/>
        <v/>
      </c>
      <c r="K18" s="19" t="str">
        <f>IF(A18=0,"",+VLOOKUP(A18,Tabla3[],'Registro de Operaciones'!$L$6,FALSE))</f>
        <v/>
      </c>
      <c r="L18" s="20" t="str">
        <f t="shared" si="5"/>
        <v/>
      </c>
      <c r="M18" s="88" t="str">
        <f>IF(A18=0,"",+VLOOKUP(A18,Tabla3[],'Registro de Operaciones'!$E$6,FALSE))</f>
        <v/>
      </c>
      <c r="N18" s="19" t="str">
        <f t="shared" si="6"/>
        <v/>
      </c>
      <c r="Q18">
        <f t="shared" si="3"/>
        <v>0</v>
      </c>
      <c r="R18" t="s">
        <v>311</v>
      </c>
      <c r="S18" t="s">
        <v>311</v>
      </c>
      <c r="T18" t="s">
        <v>311</v>
      </c>
      <c r="U18" t="s">
        <v>311</v>
      </c>
      <c r="V18" t="s">
        <v>311</v>
      </c>
      <c r="W18" t="s">
        <v>311</v>
      </c>
      <c r="X18" t="s">
        <v>311</v>
      </c>
      <c r="Y18" t="s">
        <v>311</v>
      </c>
      <c r="Z18" t="s">
        <v>311</v>
      </c>
      <c r="AA18" t="s">
        <v>311</v>
      </c>
      <c r="AB18" t="s">
        <v>311</v>
      </c>
      <c r="AC18" t="s">
        <v>311</v>
      </c>
      <c r="AD18" t="s">
        <v>311</v>
      </c>
    </row>
    <row r="19" spans="1:30" x14ac:dyDescent="0.25">
      <c r="A19" s="29">
        <f>+BD!AA20</f>
        <v>0</v>
      </c>
      <c r="B19" s="17" t="str">
        <f>IF(A19=0,"",VLOOKUP(+VLOOKUP(A19,Tabla3[],'Registro de Operaciones'!$F$6,FALSE),DOI_Tipo,2,FALSE))</f>
        <v/>
      </c>
      <c r="C19" s="19" t="str">
        <f>IF(A19=0,"",+VLOOKUP(A19,Tabla3[#All],'Registro de Operaciones'!$G$6,FALSE))</f>
        <v/>
      </c>
      <c r="D19" s="18" t="str">
        <f>IF(A19=0,"",VLOOKUP(+VLOOKUP(A19,Tabla3[],'Registro de Operaciones'!$N$6,FALSE),Tipo_Abono,2,FALSE))</f>
        <v/>
      </c>
      <c r="E19" s="19" t="str">
        <f>IF(A19=0,"",+VLOOKUP(A19,Tabla3[],'Registro de Operaciones'!$O$6,FALSE))</f>
        <v/>
      </c>
      <c r="F19" s="19" t="str">
        <f>IF(A19=0,"",+VLOOKUP(A19,Tabla3[],'Registro de Operaciones'!$H$6,FALSE))</f>
        <v/>
      </c>
      <c r="G19" s="32" t="str">
        <f>IF(A19=0,"",ROUND(+VLOOKUP(A19,Tabla3[],'Registro de Operaciones'!$X$6,FALSE),2))</f>
        <v/>
      </c>
      <c r="H19" s="20" t="str">
        <f>IF(A19=0,"",VLOOKUP(+VLOOKUP(A19,Tabla3[],'Registro de Operaciones'!$I$6,FALSE),Tipo_Recibo,2,FALSE))</f>
        <v/>
      </c>
      <c r="I19" s="19" t="str">
        <f>IF(A19=0,"",+VLOOKUP(A19,Tabla3[],'Registro de Operaciones'!$J$6,FALSE))</f>
        <v/>
      </c>
      <c r="J19" s="20" t="str">
        <f t="shared" si="4"/>
        <v/>
      </c>
      <c r="K19" s="19" t="str">
        <f>IF(A19=0,"",+VLOOKUP(A19,Tabla3[],'Registro de Operaciones'!$L$6,FALSE))</f>
        <v/>
      </c>
      <c r="L19" s="20" t="str">
        <f t="shared" si="5"/>
        <v/>
      </c>
      <c r="M19" s="88" t="str">
        <f>IF(A19=0,"",+VLOOKUP(A19,Tabla3[],'Registro de Operaciones'!$E$6,FALSE))</f>
        <v/>
      </c>
      <c r="N19" s="19" t="str">
        <f t="shared" si="6"/>
        <v/>
      </c>
      <c r="Q19">
        <f t="shared" si="3"/>
        <v>0</v>
      </c>
      <c r="R19" t="s">
        <v>311</v>
      </c>
      <c r="S19" t="s">
        <v>311</v>
      </c>
      <c r="T19" t="s">
        <v>311</v>
      </c>
      <c r="U19" t="s">
        <v>311</v>
      </c>
      <c r="V19" t="s">
        <v>311</v>
      </c>
      <c r="W19" t="s">
        <v>311</v>
      </c>
      <c r="X19" t="s">
        <v>311</v>
      </c>
      <c r="Y19" t="s">
        <v>311</v>
      </c>
      <c r="Z19" t="s">
        <v>311</v>
      </c>
      <c r="AA19" t="s">
        <v>311</v>
      </c>
      <c r="AB19" t="s">
        <v>311</v>
      </c>
      <c r="AC19" t="s">
        <v>311</v>
      </c>
      <c r="AD19" t="s">
        <v>311</v>
      </c>
    </row>
    <row r="20" spans="1:30" x14ac:dyDescent="0.25">
      <c r="A20" s="29">
        <f>+BD!AA21</f>
        <v>0</v>
      </c>
      <c r="B20" s="17" t="str">
        <f>IF(A20=0,"",VLOOKUP(+VLOOKUP(A20,Tabla3[],'Registro de Operaciones'!$F$6,FALSE),DOI_Tipo,2,FALSE))</f>
        <v/>
      </c>
      <c r="C20" s="19" t="str">
        <f>IF(A20=0,"",+VLOOKUP(A20,Tabla3[#All],'Registro de Operaciones'!$G$6,FALSE))</f>
        <v/>
      </c>
      <c r="D20" s="18" t="str">
        <f>IF(A20=0,"",VLOOKUP(+VLOOKUP(A20,Tabla3[],'Registro de Operaciones'!$N$6,FALSE),Tipo_Abono,2,FALSE))</f>
        <v/>
      </c>
      <c r="E20" s="19" t="str">
        <f>IF(A20=0,"",+VLOOKUP(A20,Tabla3[],'Registro de Operaciones'!$O$6,FALSE))</f>
        <v/>
      </c>
      <c r="F20" s="19" t="str">
        <f>IF(A20=0,"",+VLOOKUP(A20,Tabla3[],'Registro de Operaciones'!$H$6,FALSE))</f>
        <v/>
      </c>
      <c r="G20" s="32" t="str">
        <f>IF(A20=0,"",ROUND(+VLOOKUP(A20,Tabla3[],'Registro de Operaciones'!$X$6,FALSE),2))</f>
        <v/>
      </c>
      <c r="H20" s="20" t="str">
        <f>IF(A20=0,"",VLOOKUP(+VLOOKUP(A20,Tabla3[],'Registro de Operaciones'!$I$6,FALSE),Tipo_Recibo,2,FALSE))</f>
        <v/>
      </c>
      <c r="I20" s="19" t="str">
        <f>IF(A20=0,"",+VLOOKUP(A20,Tabla3[],'Registro de Operaciones'!$J$6,FALSE))</f>
        <v/>
      </c>
      <c r="J20" s="20" t="str">
        <f t="shared" si="4"/>
        <v/>
      </c>
      <c r="K20" s="19" t="str">
        <f>IF(A20=0,"",+VLOOKUP(A20,Tabla3[],'Registro de Operaciones'!$L$6,FALSE))</f>
        <v/>
      </c>
      <c r="L20" s="20" t="str">
        <f t="shared" si="5"/>
        <v/>
      </c>
      <c r="M20" s="88" t="str">
        <f>IF(A20=0,"",+VLOOKUP(A20,Tabla3[],'Registro de Operaciones'!$E$6,FALSE))</f>
        <v/>
      </c>
      <c r="N20" s="19" t="str">
        <f t="shared" si="6"/>
        <v/>
      </c>
      <c r="Q20">
        <f t="shared" si="3"/>
        <v>0</v>
      </c>
      <c r="R20" t="s">
        <v>311</v>
      </c>
      <c r="S20" t="s">
        <v>311</v>
      </c>
      <c r="T20" t="s">
        <v>311</v>
      </c>
      <c r="U20" t="s">
        <v>311</v>
      </c>
      <c r="V20" t="s">
        <v>311</v>
      </c>
      <c r="W20" t="s">
        <v>311</v>
      </c>
      <c r="X20" t="s">
        <v>311</v>
      </c>
      <c r="Y20" t="s">
        <v>311</v>
      </c>
      <c r="Z20" t="s">
        <v>311</v>
      </c>
      <c r="AA20" t="s">
        <v>311</v>
      </c>
      <c r="AB20" t="s">
        <v>311</v>
      </c>
      <c r="AC20" t="s">
        <v>311</v>
      </c>
      <c r="AD20" t="s">
        <v>311</v>
      </c>
    </row>
    <row r="21" spans="1:30" x14ac:dyDescent="0.25">
      <c r="A21" s="29">
        <f>+BD!AA22</f>
        <v>0</v>
      </c>
      <c r="B21" s="17" t="str">
        <f>IF(A21=0,"",VLOOKUP(+VLOOKUP(A21,Tabla3[],'Registro de Operaciones'!$F$6,FALSE),DOI_Tipo,2,FALSE))</f>
        <v/>
      </c>
      <c r="C21" s="19" t="str">
        <f>IF(A21=0,"",+VLOOKUP(A21,Tabla3[#All],'Registro de Operaciones'!$G$6,FALSE))</f>
        <v/>
      </c>
      <c r="D21" s="18" t="str">
        <f>IF(A21=0,"",VLOOKUP(+VLOOKUP(A21,Tabla3[],'Registro de Operaciones'!$N$6,FALSE),Tipo_Abono,2,FALSE))</f>
        <v/>
      </c>
      <c r="E21" s="19" t="str">
        <f>IF(A21=0,"",+VLOOKUP(A21,Tabla3[],'Registro de Operaciones'!$O$6,FALSE))</f>
        <v/>
      </c>
      <c r="F21" s="19" t="str">
        <f>IF(A21=0,"",+VLOOKUP(A21,Tabla3[],'Registro de Operaciones'!$H$6,FALSE))</f>
        <v/>
      </c>
      <c r="G21" s="32" t="str">
        <f>IF(A21=0,"",ROUND(+VLOOKUP(A21,Tabla3[],'Registro de Operaciones'!$X$6,FALSE),2))</f>
        <v/>
      </c>
      <c r="H21" s="20" t="str">
        <f>IF(A21=0,"",VLOOKUP(+VLOOKUP(A21,Tabla3[],'Registro de Operaciones'!$I$6,FALSE),Tipo_Recibo,2,FALSE))</f>
        <v/>
      </c>
      <c r="I21" s="19" t="str">
        <f>IF(A21=0,"",+VLOOKUP(A21,Tabla3[],'Registro de Operaciones'!$J$6,FALSE))</f>
        <v/>
      </c>
      <c r="J21" s="20" t="str">
        <f t="shared" si="4"/>
        <v/>
      </c>
      <c r="K21" s="19" t="str">
        <f>IF(A21=0,"",+VLOOKUP(A21,Tabla3[],'Registro de Operaciones'!$L$6,FALSE))</f>
        <v/>
      </c>
      <c r="L21" s="20" t="str">
        <f t="shared" si="5"/>
        <v/>
      </c>
      <c r="M21" s="88" t="str">
        <f>IF(A21=0,"",+VLOOKUP(A21,Tabla3[],'Registro de Operaciones'!$E$6,FALSE))</f>
        <v/>
      </c>
      <c r="N21" s="19" t="str">
        <f t="shared" si="6"/>
        <v/>
      </c>
      <c r="Q21">
        <f t="shared" si="3"/>
        <v>0</v>
      </c>
      <c r="R21" t="s">
        <v>311</v>
      </c>
      <c r="S21" t="s">
        <v>311</v>
      </c>
      <c r="T21" t="s">
        <v>311</v>
      </c>
      <c r="U21" t="s">
        <v>311</v>
      </c>
      <c r="V21" t="s">
        <v>311</v>
      </c>
      <c r="W21" t="s">
        <v>311</v>
      </c>
      <c r="X21" t="s">
        <v>311</v>
      </c>
      <c r="Y21" t="s">
        <v>311</v>
      </c>
      <c r="Z21" t="s">
        <v>311</v>
      </c>
      <c r="AA21" t="s">
        <v>311</v>
      </c>
      <c r="AB21" t="s">
        <v>311</v>
      </c>
      <c r="AC21" t="s">
        <v>311</v>
      </c>
      <c r="AD21" t="s">
        <v>311</v>
      </c>
    </row>
    <row r="22" spans="1:30" x14ac:dyDescent="0.25">
      <c r="A22" s="29">
        <f>+BD!AA23</f>
        <v>0</v>
      </c>
      <c r="B22" s="17" t="str">
        <f>IF(A22=0,"",VLOOKUP(+VLOOKUP(A22,Tabla3[],'Registro de Operaciones'!$F$6,FALSE),DOI_Tipo,2,FALSE))</f>
        <v/>
      </c>
      <c r="C22" s="19" t="str">
        <f>IF(A22=0,"",+VLOOKUP(A22,Tabla3[#All],'Registro de Operaciones'!$G$6,FALSE))</f>
        <v/>
      </c>
      <c r="D22" s="18" t="str">
        <f>IF(A22=0,"",VLOOKUP(+VLOOKUP(A22,Tabla3[],'Registro de Operaciones'!$N$6,FALSE),Tipo_Abono,2,FALSE))</f>
        <v/>
      </c>
      <c r="E22" s="19" t="str">
        <f>IF(A22=0,"",+VLOOKUP(A22,Tabla3[],'Registro de Operaciones'!$O$6,FALSE))</f>
        <v/>
      </c>
      <c r="F22" s="19" t="str">
        <f>IF(A22=0,"",+VLOOKUP(A22,Tabla3[],'Registro de Operaciones'!$H$6,FALSE))</f>
        <v/>
      </c>
      <c r="G22" s="32" t="str">
        <f>IF(A22=0,"",ROUND(+VLOOKUP(A22,Tabla3[],'Registro de Operaciones'!$X$6,FALSE),2))</f>
        <v/>
      </c>
      <c r="H22" s="20" t="str">
        <f>IF(A22=0,"",VLOOKUP(+VLOOKUP(A22,Tabla3[],'Registro de Operaciones'!$I$6,FALSE),Tipo_Recibo,2,FALSE))</f>
        <v/>
      </c>
      <c r="I22" s="19" t="str">
        <f>IF(A22=0,"",+VLOOKUP(A22,Tabla3[],'Registro de Operaciones'!$J$6,FALSE))</f>
        <v/>
      </c>
      <c r="J22" s="20" t="str">
        <f t="shared" si="4"/>
        <v/>
      </c>
      <c r="K22" s="19" t="str">
        <f>IF(A22=0,"",+VLOOKUP(A22,Tabla3[],'Registro de Operaciones'!$L$6,FALSE))</f>
        <v/>
      </c>
      <c r="L22" s="20" t="str">
        <f t="shared" si="5"/>
        <v/>
      </c>
      <c r="M22" s="88" t="str">
        <f>IF(A22=0,"",+VLOOKUP(A22,Tabla3[],'Registro de Operaciones'!$E$6,FALSE))</f>
        <v/>
      </c>
      <c r="N22" s="19" t="str">
        <f t="shared" si="6"/>
        <v/>
      </c>
      <c r="Q22">
        <f t="shared" si="3"/>
        <v>0</v>
      </c>
      <c r="R22" t="s">
        <v>311</v>
      </c>
      <c r="S22" t="s">
        <v>311</v>
      </c>
      <c r="T22" t="s">
        <v>311</v>
      </c>
      <c r="U22" t="s">
        <v>311</v>
      </c>
      <c r="V22" t="s">
        <v>311</v>
      </c>
      <c r="W22" t="s">
        <v>311</v>
      </c>
      <c r="X22" t="s">
        <v>311</v>
      </c>
      <c r="Y22" t="s">
        <v>311</v>
      </c>
      <c r="Z22" t="s">
        <v>311</v>
      </c>
      <c r="AA22" t="s">
        <v>311</v>
      </c>
      <c r="AB22" t="s">
        <v>311</v>
      </c>
      <c r="AC22" t="s">
        <v>311</v>
      </c>
      <c r="AD22" t="s">
        <v>311</v>
      </c>
    </row>
    <row r="23" spans="1:30" x14ac:dyDescent="0.25">
      <c r="A23" s="29">
        <f>+BD!AA24</f>
        <v>0</v>
      </c>
      <c r="B23" s="17" t="str">
        <f>IF(A23=0,"",VLOOKUP(+VLOOKUP(A23,Tabla3[],'Registro de Operaciones'!$F$6,FALSE),DOI_Tipo,2,FALSE))</f>
        <v/>
      </c>
      <c r="C23" s="19" t="str">
        <f>IF(A23=0,"",+VLOOKUP(A23,Tabla3[#All],'Registro de Operaciones'!$G$6,FALSE))</f>
        <v/>
      </c>
      <c r="D23" s="18" t="str">
        <f>IF(A23=0,"",VLOOKUP(+VLOOKUP(A23,Tabla3[],'Registro de Operaciones'!$N$6,FALSE),Tipo_Abono,2,FALSE))</f>
        <v/>
      </c>
      <c r="E23" s="19" t="str">
        <f>IF(A23=0,"",+VLOOKUP(A23,Tabla3[],'Registro de Operaciones'!$O$6,FALSE))</f>
        <v/>
      </c>
      <c r="F23" s="19" t="str">
        <f>IF(A23=0,"",+VLOOKUP(A23,Tabla3[],'Registro de Operaciones'!$H$6,FALSE))</f>
        <v/>
      </c>
      <c r="G23" s="32" t="str">
        <f>IF(A23=0,"",ROUND(+VLOOKUP(A23,Tabla3[],'Registro de Operaciones'!$X$6,FALSE),2))</f>
        <v/>
      </c>
      <c r="H23" s="20" t="str">
        <f>IF(A23=0,"",VLOOKUP(+VLOOKUP(A23,Tabla3[],'Registro de Operaciones'!$I$6,FALSE),Tipo_Recibo,2,FALSE))</f>
        <v/>
      </c>
      <c r="I23" s="19" t="str">
        <f>IF(A23=0,"",+VLOOKUP(A23,Tabla3[],'Registro de Operaciones'!$J$6,FALSE))</f>
        <v/>
      </c>
      <c r="J23" s="20" t="str">
        <f t="shared" si="4"/>
        <v/>
      </c>
      <c r="K23" s="19" t="str">
        <f>IF(A23=0,"",+VLOOKUP(A23,Tabla3[],'Registro de Operaciones'!$L$6,FALSE))</f>
        <v/>
      </c>
      <c r="L23" s="20" t="str">
        <f t="shared" si="5"/>
        <v/>
      </c>
      <c r="M23" s="88" t="str">
        <f>IF(A23=0,"",+VLOOKUP(A23,Tabla3[],'Registro de Operaciones'!$E$6,FALSE))</f>
        <v/>
      </c>
      <c r="N23" s="19" t="str">
        <f t="shared" si="6"/>
        <v/>
      </c>
      <c r="Q23">
        <f t="shared" si="3"/>
        <v>0</v>
      </c>
      <c r="R23" t="s">
        <v>311</v>
      </c>
      <c r="S23" t="s">
        <v>311</v>
      </c>
      <c r="T23" t="s">
        <v>311</v>
      </c>
      <c r="U23" t="s">
        <v>311</v>
      </c>
      <c r="V23" t="s">
        <v>311</v>
      </c>
      <c r="W23" t="s">
        <v>311</v>
      </c>
      <c r="X23" t="s">
        <v>311</v>
      </c>
      <c r="Y23" t="s">
        <v>311</v>
      </c>
      <c r="Z23" t="s">
        <v>311</v>
      </c>
      <c r="AA23" t="s">
        <v>311</v>
      </c>
      <c r="AB23" t="s">
        <v>311</v>
      </c>
      <c r="AC23" t="s">
        <v>311</v>
      </c>
      <c r="AD23" t="s">
        <v>311</v>
      </c>
    </row>
    <row r="24" spans="1:30" x14ac:dyDescent="0.25">
      <c r="A24" s="29">
        <f>+BD!AA25</f>
        <v>0</v>
      </c>
      <c r="B24" s="17" t="str">
        <f>IF(A24=0,"",VLOOKUP(+VLOOKUP(A24,Tabla3[],'Registro de Operaciones'!$F$6,FALSE),DOI_Tipo,2,FALSE))</f>
        <v/>
      </c>
      <c r="C24" s="19" t="str">
        <f>IF(A24=0,"",+VLOOKUP(A24,Tabla3[#All],'Registro de Operaciones'!$G$6,FALSE))</f>
        <v/>
      </c>
      <c r="D24" s="18" t="str">
        <f>IF(A24=0,"",VLOOKUP(+VLOOKUP(A24,Tabla3[],'Registro de Operaciones'!$N$6,FALSE),Tipo_Abono,2,FALSE))</f>
        <v/>
      </c>
      <c r="E24" s="19" t="str">
        <f>IF(A24=0,"",+VLOOKUP(A24,Tabla3[],'Registro de Operaciones'!$O$6,FALSE))</f>
        <v/>
      </c>
      <c r="F24" s="19" t="str">
        <f>IF(A24=0,"",+VLOOKUP(A24,Tabla3[],'Registro de Operaciones'!$H$6,FALSE))</f>
        <v/>
      </c>
      <c r="G24" s="32" t="str">
        <f>IF(A24=0,"",ROUND(+VLOOKUP(A24,Tabla3[],'Registro de Operaciones'!$X$6,FALSE),2))</f>
        <v/>
      </c>
      <c r="H24" s="20" t="str">
        <f>IF(A24=0,"",VLOOKUP(+VLOOKUP(A24,Tabla3[],'Registro de Operaciones'!$I$6,FALSE),Tipo_Recibo,2,FALSE))</f>
        <v/>
      </c>
      <c r="I24" s="19" t="str">
        <f>IF(A24=0,"",+VLOOKUP(A24,Tabla3[],'Registro de Operaciones'!$J$6,FALSE))</f>
        <v/>
      </c>
      <c r="J24" s="20" t="str">
        <f t="shared" si="4"/>
        <v/>
      </c>
      <c r="K24" s="19" t="str">
        <f>IF(A24=0,"",+VLOOKUP(A24,Tabla3[],'Registro de Operaciones'!$L$6,FALSE))</f>
        <v/>
      </c>
      <c r="L24" s="20" t="str">
        <f t="shared" si="5"/>
        <v/>
      </c>
      <c r="M24" s="88" t="str">
        <f>IF(A24=0,"",+VLOOKUP(A24,Tabla3[],'Registro de Operaciones'!$E$6,FALSE))</f>
        <v/>
      </c>
      <c r="N24" s="19" t="str">
        <f t="shared" si="6"/>
        <v/>
      </c>
      <c r="Q24">
        <f t="shared" si="3"/>
        <v>0</v>
      </c>
      <c r="R24" t="s">
        <v>311</v>
      </c>
      <c r="S24" t="s">
        <v>311</v>
      </c>
      <c r="T24" t="s">
        <v>311</v>
      </c>
      <c r="U24" t="s">
        <v>311</v>
      </c>
      <c r="V24" t="s">
        <v>311</v>
      </c>
      <c r="W24" t="s">
        <v>311</v>
      </c>
      <c r="X24" t="s">
        <v>311</v>
      </c>
      <c r="Y24" t="s">
        <v>311</v>
      </c>
      <c r="Z24" t="s">
        <v>311</v>
      </c>
      <c r="AA24" t="s">
        <v>311</v>
      </c>
      <c r="AB24" t="s">
        <v>311</v>
      </c>
      <c r="AC24" t="s">
        <v>311</v>
      </c>
      <c r="AD24" t="s">
        <v>311</v>
      </c>
    </row>
    <row r="25" spans="1:30" x14ac:dyDescent="0.25">
      <c r="A25" s="29">
        <f>+BD!AA26</f>
        <v>0</v>
      </c>
      <c r="B25" s="17" t="str">
        <f>IF(A25=0,"",VLOOKUP(+VLOOKUP(A25,Tabla3[],'Registro de Operaciones'!$F$6,FALSE),DOI_Tipo,2,FALSE))</f>
        <v/>
      </c>
      <c r="C25" s="19" t="str">
        <f>IF(A25=0,"",+VLOOKUP(A25,Tabla3[#All],'Registro de Operaciones'!$G$6,FALSE))</f>
        <v/>
      </c>
      <c r="D25" s="18" t="str">
        <f>IF(A25=0,"",VLOOKUP(+VLOOKUP(A25,Tabla3[],'Registro de Operaciones'!$N$6,FALSE),Tipo_Abono,2,FALSE))</f>
        <v/>
      </c>
      <c r="E25" s="19" t="str">
        <f>IF(A25=0,"",+VLOOKUP(A25,Tabla3[],'Registro de Operaciones'!$O$6,FALSE))</f>
        <v/>
      </c>
      <c r="F25" s="19" t="str">
        <f>IF(A25=0,"",+VLOOKUP(A25,Tabla3[],'Registro de Operaciones'!$H$6,FALSE))</f>
        <v/>
      </c>
      <c r="G25" s="32" t="str">
        <f>IF(A25=0,"",ROUND(+VLOOKUP(A25,Tabla3[],'Registro de Operaciones'!$X$6,FALSE),2))</f>
        <v/>
      </c>
      <c r="H25" s="20" t="str">
        <f>IF(A25=0,"",VLOOKUP(+VLOOKUP(A25,Tabla3[],'Registro de Operaciones'!$I$6,FALSE),Tipo_Recibo,2,FALSE))</f>
        <v/>
      </c>
      <c r="I25" s="19" t="str">
        <f>IF(A25=0,"",+VLOOKUP(A25,Tabla3[],'Registro de Operaciones'!$J$6,FALSE))</f>
        <v/>
      </c>
      <c r="J25" s="20" t="str">
        <f t="shared" si="4"/>
        <v/>
      </c>
      <c r="K25" s="19" t="str">
        <f>IF(A25=0,"",+VLOOKUP(A25,Tabla3[],'Registro de Operaciones'!$L$6,FALSE))</f>
        <v/>
      </c>
      <c r="L25" s="20" t="str">
        <f t="shared" si="5"/>
        <v/>
      </c>
      <c r="M25" s="88" t="str">
        <f>IF(A25=0,"",+VLOOKUP(A25,Tabla3[],'Registro de Operaciones'!$E$6,FALSE))</f>
        <v/>
      </c>
      <c r="N25" s="19" t="str">
        <f t="shared" si="6"/>
        <v/>
      </c>
      <c r="Q25">
        <f t="shared" si="3"/>
        <v>0</v>
      </c>
      <c r="R25" t="s">
        <v>311</v>
      </c>
      <c r="S25" t="s">
        <v>311</v>
      </c>
      <c r="T25" t="s">
        <v>311</v>
      </c>
      <c r="U25" t="s">
        <v>311</v>
      </c>
      <c r="V25" t="s">
        <v>311</v>
      </c>
      <c r="W25" t="s">
        <v>311</v>
      </c>
      <c r="X25" t="s">
        <v>311</v>
      </c>
      <c r="Y25" t="s">
        <v>311</v>
      </c>
      <c r="Z25" t="s">
        <v>311</v>
      </c>
      <c r="AA25" t="s">
        <v>311</v>
      </c>
      <c r="AB25" t="s">
        <v>311</v>
      </c>
      <c r="AC25" t="s">
        <v>311</v>
      </c>
      <c r="AD25" t="s">
        <v>311</v>
      </c>
    </row>
    <row r="26" spans="1:30" x14ac:dyDescent="0.25">
      <c r="A26" s="29">
        <f>+BD!AA27</f>
        <v>0</v>
      </c>
      <c r="B26" s="17" t="str">
        <f>IF(A26=0,"",VLOOKUP(+VLOOKUP(A26,Tabla3[],'Registro de Operaciones'!$F$6,FALSE),DOI_Tipo,2,FALSE))</f>
        <v/>
      </c>
      <c r="C26" s="19" t="str">
        <f>IF(A26=0,"",+VLOOKUP(A26,Tabla3[#All],'Registro de Operaciones'!$G$6,FALSE))</f>
        <v/>
      </c>
      <c r="D26" s="18" t="str">
        <f>IF(A26=0,"",VLOOKUP(+VLOOKUP(A26,Tabla3[],'Registro de Operaciones'!$N$6,FALSE),Tipo_Abono,2,FALSE))</f>
        <v/>
      </c>
      <c r="E26" s="19" t="str">
        <f>IF(A26=0,"",+VLOOKUP(A26,Tabla3[],'Registro de Operaciones'!$O$6,FALSE))</f>
        <v/>
      </c>
      <c r="F26" s="19" t="str">
        <f>IF(A26=0,"",+VLOOKUP(A26,Tabla3[],'Registro de Operaciones'!$H$6,FALSE))</f>
        <v/>
      </c>
      <c r="G26" s="32" t="str">
        <f>IF(A26=0,"",ROUND(+VLOOKUP(A26,Tabla3[],'Registro de Operaciones'!$X$6,FALSE),2))</f>
        <v/>
      </c>
      <c r="H26" s="20" t="str">
        <f>IF(A26=0,"",VLOOKUP(+VLOOKUP(A26,Tabla3[],'Registro de Operaciones'!$I$6,FALSE),Tipo_Recibo,2,FALSE))</f>
        <v/>
      </c>
      <c r="I26" s="19" t="str">
        <f>IF(A26=0,"",+VLOOKUP(A26,Tabla3[],'Registro de Operaciones'!$J$6,FALSE))</f>
        <v/>
      </c>
      <c r="J26" s="20" t="str">
        <f t="shared" si="4"/>
        <v/>
      </c>
      <c r="K26" s="19" t="str">
        <f>IF(A26=0,"",+VLOOKUP(A26,Tabla3[],'Registro de Operaciones'!$L$6,FALSE))</f>
        <v/>
      </c>
      <c r="L26" s="20" t="str">
        <f t="shared" si="5"/>
        <v/>
      </c>
      <c r="M26" s="88" t="str">
        <f>IF(A26=0,"",+VLOOKUP(A26,Tabla3[],'Registro de Operaciones'!$E$6,FALSE))</f>
        <v/>
      </c>
      <c r="N26" s="19" t="str">
        <f t="shared" si="6"/>
        <v/>
      </c>
      <c r="Q26">
        <f t="shared" si="3"/>
        <v>0</v>
      </c>
      <c r="R26" t="s">
        <v>311</v>
      </c>
      <c r="S26" t="s">
        <v>311</v>
      </c>
      <c r="T26" t="s">
        <v>311</v>
      </c>
      <c r="U26" t="s">
        <v>311</v>
      </c>
      <c r="V26" t="s">
        <v>311</v>
      </c>
      <c r="W26" t="s">
        <v>311</v>
      </c>
      <c r="X26" t="s">
        <v>311</v>
      </c>
      <c r="Y26" t="s">
        <v>311</v>
      </c>
      <c r="Z26" t="s">
        <v>311</v>
      </c>
      <c r="AA26" t="s">
        <v>311</v>
      </c>
      <c r="AB26" t="s">
        <v>311</v>
      </c>
      <c r="AC26" t="s">
        <v>311</v>
      </c>
      <c r="AD26" t="s">
        <v>311</v>
      </c>
    </row>
    <row r="27" spans="1:30" x14ac:dyDescent="0.25">
      <c r="A27" s="29">
        <f>+BD!AA28</f>
        <v>0</v>
      </c>
      <c r="B27" s="17" t="str">
        <f>IF(A27=0,"",VLOOKUP(+VLOOKUP(A27,Tabla3[],'Registro de Operaciones'!$F$6,FALSE),DOI_Tipo,2,FALSE))</f>
        <v/>
      </c>
      <c r="C27" s="19" t="str">
        <f>IF(A27=0,"",+VLOOKUP(A27,Tabla3[#All],'Registro de Operaciones'!$G$6,FALSE))</f>
        <v/>
      </c>
      <c r="D27" s="18" t="str">
        <f>IF(A27=0,"",VLOOKUP(+VLOOKUP(A27,Tabla3[],'Registro de Operaciones'!$N$6,FALSE),Tipo_Abono,2,FALSE))</f>
        <v/>
      </c>
      <c r="E27" s="19" t="str">
        <f>IF(A27=0,"",+VLOOKUP(A27,Tabla3[],'Registro de Operaciones'!$O$6,FALSE))</f>
        <v/>
      </c>
      <c r="F27" s="19" t="str">
        <f>IF(A27=0,"",+VLOOKUP(A27,Tabla3[],'Registro de Operaciones'!$H$6,FALSE))</f>
        <v/>
      </c>
      <c r="G27" s="32" t="str">
        <f>IF(A27=0,"",ROUND(+VLOOKUP(A27,Tabla3[],'Registro de Operaciones'!$X$6,FALSE),2))</f>
        <v/>
      </c>
      <c r="H27" s="20" t="str">
        <f>IF(A27=0,"",VLOOKUP(+VLOOKUP(A27,Tabla3[],'Registro de Operaciones'!$I$6,FALSE),Tipo_Recibo,2,FALSE))</f>
        <v/>
      </c>
      <c r="I27" s="19" t="str">
        <f>IF(A27=0,"",+VLOOKUP(A27,Tabla3[],'Registro de Operaciones'!$J$6,FALSE))</f>
        <v/>
      </c>
      <c r="J27" s="20" t="str">
        <f t="shared" si="4"/>
        <v/>
      </c>
      <c r="K27" s="19" t="str">
        <f>IF(A27=0,"",+VLOOKUP(A27,Tabla3[],'Registro de Operaciones'!$L$6,FALSE))</f>
        <v/>
      </c>
      <c r="L27" s="20" t="str">
        <f t="shared" si="5"/>
        <v/>
      </c>
      <c r="M27" s="88" t="str">
        <f>IF(A27=0,"",+VLOOKUP(A27,Tabla3[],'Registro de Operaciones'!$E$6,FALSE))</f>
        <v/>
      </c>
      <c r="N27" s="19" t="str">
        <f t="shared" si="6"/>
        <v/>
      </c>
      <c r="Q27">
        <f t="shared" si="3"/>
        <v>0</v>
      </c>
      <c r="R27" t="s">
        <v>311</v>
      </c>
      <c r="S27" t="s">
        <v>311</v>
      </c>
      <c r="T27" t="s">
        <v>311</v>
      </c>
      <c r="U27" t="s">
        <v>311</v>
      </c>
      <c r="V27" t="s">
        <v>311</v>
      </c>
      <c r="W27" t="s">
        <v>311</v>
      </c>
      <c r="X27" t="s">
        <v>311</v>
      </c>
      <c r="Y27" t="s">
        <v>311</v>
      </c>
      <c r="Z27" t="s">
        <v>311</v>
      </c>
      <c r="AA27" t="s">
        <v>311</v>
      </c>
      <c r="AB27" t="s">
        <v>311</v>
      </c>
      <c r="AC27" t="s">
        <v>311</v>
      </c>
      <c r="AD27" t="s">
        <v>311</v>
      </c>
    </row>
    <row r="28" spans="1:30" x14ac:dyDescent="0.25">
      <c r="A28" s="29">
        <f>+BD!AA29</f>
        <v>0</v>
      </c>
      <c r="B28" s="17" t="str">
        <f>IF(A28=0,"",VLOOKUP(+VLOOKUP(A28,Tabla3[],'Registro de Operaciones'!$F$6,FALSE),DOI_Tipo,2,FALSE))</f>
        <v/>
      </c>
      <c r="C28" s="19" t="str">
        <f>IF(A28=0,"",+VLOOKUP(A28,Tabla3[#All],'Registro de Operaciones'!$G$6,FALSE))</f>
        <v/>
      </c>
      <c r="D28" s="18" t="str">
        <f>IF(A28=0,"",VLOOKUP(+VLOOKUP(A28,Tabla3[],'Registro de Operaciones'!$N$6,FALSE),Tipo_Abono,2,FALSE))</f>
        <v/>
      </c>
      <c r="E28" s="19" t="str">
        <f>IF(A28=0,"",+VLOOKUP(A28,Tabla3[],'Registro de Operaciones'!$O$6,FALSE))</f>
        <v/>
      </c>
      <c r="F28" s="19" t="str">
        <f>IF(A28=0,"",+VLOOKUP(A28,Tabla3[],'Registro de Operaciones'!$H$6,FALSE))</f>
        <v/>
      </c>
      <c r="G28" s="32" t="str">
        <f>IF(A28=0,"",ROUND(+VLOOKUP(A28,Tabla3[],'Registro de Operaciones'!$X$6,FALSE),2))</f>
        <v/>
      </c>
      <c r="H28" s="20" t="str">
        <f>IF(A28=0,"",VLOOKUP(+VLOOKUP(A28,Tabla3[],'Registro de Operaciones'!$I$6,FALSE),Tipo_Recibo,2,FALSE))</f>
        <v/>
      </c>
      <c r="I28" s="19" t="str">
        <f>IF(A28=0,"",+VLOOKUP(A28,Tabla3[],'Registro de Operaciones'!$J$6,FALSE))</f>
        <v/>
      </c>
      <c r="J28" s="20" t="str">
        <f t="shared" si="4"/>
        <v/>
      </c>
      <c r="K28" s="19" t="str">
        <f>IF(A28=0,"",+VLOOKUP(A28,Tabla3[],'Registro de Operaciones'!$L$6,FALSE))</f>
        <v/>
      </c>
      <c r="L28" s="20" t="str">
        <f t="shared" si="5"/>
        <v/>
      </c>
      <c r="M28" s="88" t="str">
        <f>IF(A28=0,"",+VLOOKUP(A28,Tabla3[],'Registro de Operaciones'!$E$6,FALSE))</f>
        <v/>
      </c>
      <c r="N28" s="19" t="str">
        <f t="shared" si="6"/>
        <v/>
      </c>
      <c r="Q28">
        <f t="shared" si="3"/>
        <v>0</v>
      </c>
      <c r="R28" t="s">
        <v>311</v>
      </c>
      <c r="S28" t="s">
        <v>311</v>
      </c>
      <c r="T28" t="s">
        <v>311</v>
      </c>
      <c r="U28" t="s">
        <v>311</v>
      </c>
      <c r="V28" t="s">
        <v>311</v>
      </c>
      <c r="W28" t="s">
        <v>311</v>
      </c>
      <c r="X28" t="s">
        <v>311</v>
      </c>
      <c r="Y28" t="s">
        <v>311</v>
      </c>
      <c r="Z28" t="s">
        <v>311</v>
      </c>
      <c r="AA28" t="s">
        <v>311</v>
      </c>
      <c r="AB28" t="s">
        <v>311</v>
      </c>
      <c r="AC28" t="s">
        <v>311</v>
      </c>
      <c r="AD28" t="s">
        <v>311</v>
      </c>
    </row>
    <row r="29" spans="1:30" x14ac:dyDescent="0.25">
      <c r="A29" s="29">
        <f>+BD!AA30</f>
        <v>0</v>
      </c>
      <c r="B29" s="17" t="str">
        <f>IF(A29=0,"",VLOOKUP(+VLOOKUP(A29,Tabla3[],'Registro de Operaciones'!$F$6,FALSE),DOI_Tipo,2,FALSE))</f>
        <v/>
      </c>
      <c r="C29" s="19" t="str">
        <f>IF(A29=0,"",+VLOOKUP(A29,Tabla3[#All],'Registro de Operaciones'!$G$6,FALSE))</f>
        <v/>
      </c>
      <c r="D29" s="18" t="str">
        <f>IF(A29=0,"",VLOOKUP(+VLOOKUP(A29,Tabla3[],'Registro de Operaciones'!$N$6,FALSE),Tipo_Abono,2,FALSE))</f>
        <v/>
      </c>
      <c r="E29" s="19" t="str">
        <f>IF(A29=0,"",+VLOOKUP(A29,Tabla3[],'Registro de Operaciones'!$O$6,FALSE))</f>
        <v/>
      </c>
      <c r="F29" s="19" t="str">
        <f>IF(A29=0,"",+VLOOKUP(A29,Tabla3[],'Registro de Operaciones'!$H$6,FALSE))</f>
        <v/>
      </c>
      <c r="G29" s="32" t="str">
        <f>IF(A29=0,"",ROUND(+VLOOKUP(A29,Tabla3[],'Registro de Operaciones'!$X$6,FALSE),2))</f>
        <v/>
      </c>
      <c r="H29" s="20" t="str">
        <f>IF(A29=0,"",VLOOKUP(+VLOOKUP(A29,Tabla3[],'Registro de Operaciones'!$I$6,FALSE),Tipo_Recibo,2,FALSE))</f>
        <v/>
      </c>
      <c r="I29" s="19" t="str">
        <f>IF(A29=0,"",+VLOOKUP(A29,Tabla3[],'Registro de Operaciones'!$J$6,FALSE))</f>
        <v/>
      </c>
      <c r="J29" s="20" t="str">
        <f t="shared" si="4"/>
        <v/>
      </c>
      <c r="K29" s="19" t="str">
        <f>IF(A29=0,"",+VLOOKUP(A29,Tabla3[],'Registro de Operaciones'!$L$6,FALSE))</f>
        <v/>
      </c>
      <c r="L29" s="20" t="str">
        <f t="shared" si="5"/>
        <v/>
      </c>
      <c r="M29" s="88" t="str">
        <f>IF(A29=0,"",+VLOOKUP(A29,Tabla3[],'Registro de Operaciones'!$E$6,FALSE))</f>
        <v/>
      </c>
      <c r="N29" s="19" t="str">
        <f t="shared" si="6"/>
        <v/>
      </c>
      <c r="Q29">
        <f t="shared" si="3"/>
        <v>0</v>
      </c>
      <c r="R29" t="s">
        <v>311</v>
      </c>
      <c r="S29" t="s">
        <v>311</v>
      </c>
      <c r="T29" t="s">
        <v>311</v>
      </c>
      <c r="U29" t="s">
        <v>311</v>
      </c>
      <c r="V29" t="s">
        <v>311</v>
      </c>
      <c r="W29" t="s">
        <v>311</v>
      </c>
      <c r="X29" t="s">
        <v>311</v>
      </c>
      <c r="Y29" t="s">
        <v>311</v>
      </c>
      <c r="Z29" t="s">
        <v>311</v>
      </c>
      <c r="AA29" t="s">
        <v>311</v>
      </c>
      <c r="AB29" t="s">
        <v>311</v>
      </c>
      <c r="AC29" t="s">
        <v>311</v>
      </c>
      <c r="AD29" t="s">
        <v>311</v>
      </c>
    </row>
    <row r="30" spans="1:30" x14ac:dyDescent="0.25">
      <c r="A30" s="29">
        <f>+BD!AA31</f>
        <v>0</v>
      </c>
      <c r="B30" s="17" t="str">
        <f>IF(A30=0,"",VLOOKUP(+VLOOKUP(A30,Tabla3[],'Registro de Operaciones'!$F$6,FALSE),DOI_Tipo,2,FALSE))</f>
        <v/>
      </c>
      <c r="C30" s="19" t="str">
        <f>IF(A30=0,"",+VLOOKUP(A30,Tabla3[#All],'Registro de Operaciones'!$G$6,FALSE))</f>
        <v/>
      </c>
      <c r="D30" s="18" t="str">
        <f>IF(A30=0,"",VLOOKUP(+VLOOKUP(A30,Tabla3[],'Registro de Operaciones'!$N$6,FALSE),Tipo_Abono,2,FALSE))</f>
        <v/>
      </c>
      <c r="E30" s="19" t="str">
        <f>IF(A30=0,"",+VLOOKUP(A30,Tabla3[],'Registro de Operaciones'!$O$6,FALSE))</f>
        <v/>
      </c>
      <c r="F30" s="19" t="str">
        <f>IF(A30=0,"",+VLOOKUP(A30,Tabla3[],'Registro de Operaciones'!$H$6,FALSE))</f>
        <v/>
      </c>
      <c r="G30" s="32" t="str">
        <f>IF(A30=0,"",ROUND(+VLOOKUP(A30,Tabla3[],'Registro de Operaciones'!$X$6,FALSE),2))</f>
        <v/>
      </c>
      <c r="H30" s="20" t="str">
        <f>IF(A30=0,"",VLOOKUP(+VLOOKUP(A30,Tabla3[],'Registro de Operaciones'!$I$6,FALSE),Tipo_Recibo,2,FALSE))</f>
        <v/>
      </c>
      <c r="I30" s="19" t="str">
        <f>IF(A30=0,"",+VLOOKUP(A30,Tabla3[],'Registro de Operaciones'!$J$6,FALSE))</f>
        <v/>
      </c>
      <c r="J30" s="20" t="str">
        <f t="shared" si="4"/>
        <v/>
      </c>
      <c r="K30" s="19" t="str">
        <f>IF(A30=0,"",+VLOOKUP(A30,Tabla3[],'Registro de Operaciones'!$L$6,FALSE))</f>
        <v/>
      </c>
      <c r="L30" s="20" t="str">
        <f t="shared" si="5"/>
        <v/>
      </c>
      <c r="M30" s="88" t="str">
        <f>IF(A30=0,"",+VLOOKUP(A30,Tabla3[],'Registro de Operaciones'!$E$6,FALSE))</f>
        <v/>
      </c>
      <c r="N30" s="19" t="str">
        <f t="shared" si="6"/>
        <v/>
      </c>
      <c r="Q30">
        <f t="shared" si="3"/>
        <v>0</v>
      </c>
      <c r="R30" t="s">
        <v>311</v>
      </c>
      <c r="S30" t="s">
        <v>311</v>
      </c>
      <c r="T30" t="s">
        <v>311</v>
      </c>
      <c r="U30" t="s">
        <v>311</v>
      </c>
      <c r="V30" t="s">
        <v>311</v>
      </c>
      <c r="W30" t="s">
        <v>311</v>
      </c>
      <c r="X30" t="s">
        <v>311</v>
      </c>
      <c r="Y30" t="s">
        <v>311</v>
      </c>
      <c r="Z30" t="s">
        <v>311</v>
      </c>
      <c r="AA30" t="s">
        <v>311</v>
      </c>
      <c r="AB30" t="s">
        <v>311</v>
      </c>
      <c r="AC30" t="s">
        <v>311</v>
      </c>
      <c r="AD30" t="s">
        <v>311</v>
      </c>
    </row>
    <row r="31" spans="1:30" x14ac:dyDescent="0.25">
      <c r="A31" s="29">
        <f>+BD!AA32</f>
        <v>0</v>
      </c>
      <c r="B31" s="17" t="str">
        <f>IF(A31=0,"",VLOOKUP(+VLOOKUP(A31,Tabla3[],'Registro de Operaciones'!$F$6,FALSE),DOI_Tipo,2,FALSE))</f>
        <v/>
      </c>
      <c r="C31" s="19" t="str">
        <f>IF(A31=0,"",+VLOOKUP(A31,Tabla3[#All],'Registro de Operaciones'!$G$6,FALSE))</f>
        <v/>
      </c>
      <c r="D31" s="18" t="str">
        <f>IF(A31=0,"",VLOOKUP(+VLOOKUP(A31,Tabla3[],'Registro de Operaciones'!$N$6,FALSE),Tipo_Abono,2,FALSE))</f>
        <v/>
      </c>
      <c r="E31" s="19" t="str">
        <f>IF(A31=0,"",+VLOOKUP(A31,Tabla3[],'Registro de Operaciones'!$O$6,FALSE))</f>
        <v/>
      </c>
      <c r="F31" s="19" t="str">
        <f>IF(A31=0,"",+VLOOKUP(A31,Tabla3[],'Registro de Operaciones'!$H$6,FALSE))</f>
        <v/>
      </c>
      <c r="G31" s="32" t="str">
        <f>IF(A31=0,"",ROUND(+VLOOKUP(A31,Tabla3[],'Registro de Operaciones'!$X$6,FALSE),2))</f>
        <v/>
      </c>
      <c r="H31" s="20" t="str">
        <f>IF(A31=0,"",VLOOKUP(+VLOOKUP(A31,Tabla3[],'Registro de Operaciones'!$I$6,FALSE),Tipo_Recibo,2,FALSE))</f>
        <v/>
      </c>
      <c r="I31" s="19" t="str">
        <f>IF(A31=0,"",+VLOOKUP(A31,Tabla3[],'Registro de Operaciones'!$J$6,FALSE))</f>
        <v/>
      </c>
      <c r="J31" s="20" t="str">
        <f t="shared" si="4"/>
        <v/>
      </c>
      <c r="K31" s="19" t="str">
        <f>IF(A31=0,"",+VLOOKUP(A31,Tabla3[],'Registro de Operaciones'!$L$6,FALSE))</f>
        <v/>
      </c>
      <c r="L31" s="20" t="str">
        <f t="shared" si="5"/>
        <v/>
      </c>
      <c r="M31" s="88" t="str">
        <f>IF(A31=0,"",+VLOOKUP(A31,Tabla3[],'Registro de Operaciones'!$E$6,FALSE))</f>
        <v/>
      </c>
      <c r="N31" s="19" t="str">
        <f t="shared" si="6"/>
        <v/>
      </c>
      <c r="Q31">
        <f t="shared" si="3"/>
        <v>0</v>
      </c>
      <c r="R31" t="s">
        <v>311</v>
      </c>
      <c r="S31" t="s">
        <v>311</v>
      </c>
      <c r="T31" t="s">
        <v>311</v>
      </c>
      <c r="U31" t="s">
        <v>311</v>
      </c>
      <c r="V31" t="s">
        <v>311</v>
      </c>
      <c r="W31" t="s">
        <v>311</v>
      </c>
      <c r="X31" t="s">
        <v>311</v>
      </c>
      <c r="Y31" t="s">
        <v>311</v>
      </c>
      <c r="Z31" t="s">
        <v>311</v>
      </c>
      <c r="AA31" t="s">
        <v>311</v>
      </c>
      <c r="AB31" t="s">
        <v>311</v>
      </c>
      <c r="AC31" t="s">
        <v>311</v>
      </c>
      <c r="AD31" t="s">
        <v>311</v>
      </c>
    </row>
    <row r="32" spans="1:30" x14ac:dyDescent="0.25">
      <c r="A32" s="29">
        <f>+BD!AA33</f>
        <v>0</v>
      </c>
      <c r="B32" s="17" t="str">
        <f>IF(A32=0,"",VLOOKUP(+VLOOKUP(A32,Tabla3[],'Registro de Operaciones'!$F$6,FALSE),DOI_Tipo,2,FALSE))</f>
        <v/>
      </c>
      <c r="C32" s="19" t="str">
        <f>IF(A32=0,"",+VLOOKUP(A32,Tabla3[#All],'Registro de Operaciones'!$G$6,FALSE))</f>
        <v/>
      </c>
      <c r="D32" s="18" t="str">
        <f>IF(A32=0,"",VLOOKUP(+VLOOKUP(A32,Tabla3[],'Registro de Operaciones'!$N$6,FALSE),Tipo_Abono,2,FALSE))</f>
        <v/>
      </c>
      <c r="E32" s="19" t="str">
        <f>IF(A32=0,"",+VLOOKUP(A32,Tabla3[],'Registro de Operaciones'!$O$6,FALSE))</f>
        <v/>
      </c>
      <c r="F32" s="19" t="str">
        <f>IF(A32=0,"",+VLOOKUP(A32,Tabla3[],'Registro de Operaciones'!$H$6,FALSE))</f>
        <v/>
      </c>
      <c r="G32" s="32" t="str">
        <f>IF(A32=0,"",ROUND(+VLOOKUP(A32,Tabla3[],'Registro de Operaciones'!$X$6,FALSE),2))</f>
        <v/>
      </c>
      <c r="H32" s="20" t="str">
        <f>IF(A32=0,"",VLOOKUP(+VLOOKUP(A32,Tabla3[],'Registro de Operaciones'!$I$6,FALSE),Tipo_Recibo,2,FALSE))</f>
        <v/>
      </c>
      <c r="I32" s="19" t="str">
        <f>IF(A32=0,"",+VLOOKUP(A32,Tabla3[],'Registro de Operaciones'!$J$6,FALSE))</f>
        <v/>
      </c>
      <c r="J32" s="20" t="str">
        <f t="shared" si="4"/>
        <v/>
      </c>
      <c r="K32" s="19" t="str">
        <f>IF(A32=0,"",+VLOOKUP(A32,Tabla3[],'Registro de Operaciones'!$L$6,FALSE))</f>
        <v/>
      </c>
      <c r="L32" s="20" t="str">
        <f t="shared" si="5"/>
        <v/>
      </c>
      <c r="M32" s="88" t="str">
        <f>IF(A32=0,"",+VLOOKUP(A32,Tabla3[],'Registro de Operaciones'!$E$6,FALSE))</f>
        <v/>
      </c>
      <c r="N32" s="19" t="str">
        <f t="shared" si="6"/>
        <v/>
      </c>
      <c r="Q32">
        <f t="shared" si="3"/>
        <v>0</v>
      </c>
      <c r="R32" t="s">
        <v>311</v>
      </c>
      <c r="S32" t="s">
        <v>311</v>
      </c>
      <c r="T32" t="s">
        <v>311</v>
      </c>
      <c r="U32" t="s">
        <v>311</v>
      </c>
      <c r="V32" t="s">
        <v>311</v>
      </c>
      <c r="W32" t="s">
        <v>311</v>
      </c>
      <c r="X32" t="s">
        <v>311</v>
      </c>
      <c r="Y32" t="s">
        <v>311</v>
      </c>
      <c r="Z32" t="s">
        <v>311</v>
      </c>
      <c r="AA32" t="s">
        <v>311</v>
      </c>
      <c r="AB32" t="s">
        <v>311</v>
      </c>
      <c r="AC32" t="s">
        <v>311</v>
      </c>
      <c r="AD32" t="s">
        <v>311</v>
      </c>
    </row>
    <row r="33" spans="1:30" x14ac:dyDescent="0.25">
      <c r="A33" s="29">
        <f>+BD!AA34</f>
        <v>0</v>
      </c>
      <c r="B33" s="17" t="str">
        <f>IF(A33=0,"",VLOOKUP(+VLOOKUP(A33,Tabla3[],'Registro de Operaciones'!$F$6,FALSE),DOI_Tipo,2,FALSE))</f>
        <v/>
      </c>
      <c r="C33" s="19" t="str">
        <f>IF(A33=0,"",+VLOOKUP(A33,Tabla3[#All],'Registro de Operaciones'!$G$6,FALSE))</f>
        <v/>
      </c>
      <c r="D33" s="18" t="str">
        <f>IF(A33=0,"",VLOOKUP(+VLOOKUP(A33,Tabla3[],'Registro de Operaciones'!$N$6,FALSE),Tipo_Abono,2,FALSE))</f>
        <v/>
      </c>
      <c r="E33" s="19" t="str">
        <f>IF(A33=0,"",+VLOOKUP(A33,Tabla3[],'Registro de Operaciones'!$O$6,FALSE))</f>
        <v/>
      </c>
      <c r="F33" s="19" t="str">
        <f>IF(A33=0,"",+VLOOKUP(A33,Tabla3[],'Registro de Operaciones'!$H$6,FALSE))</f>
        <v/>
      </c>
      <c r="G33" s="32" t="str">
        <f>IF(A33=0,"",ROUND(+VLOOKUP(A33,Tabla3[],'Registro de Operaciones'!$X$6,FALSE),2))</f>
        <v/>
      </c>
      <c r="H33" s="20" t="str">
        <f>IF(A33=0,"",VLOOKUP(+VLOOKUP(A33,Tabla3[],'Registro de Operaciones'!$I$6,FALSE),Tipo_Recibo,2,FALSE))</f>
        <v/>
      </c>
      <c r="I33" s="19" t="str">
        <f>IF(A33=0,"",+VLOOKUP(A33,Tabla3[],'Registro de Operaciones'!$J$6,FALSE))</f>
        <v/>
      </c>
      <c r="J33" s="20" t="str">
        <f t="shared" si="4"/>
        <v/>
      </c>
      <c r="K33" s="19" t="str">
        <f>IF(A33=0,"",+VLOOKUP(A33,Tabla3[],'Registro de Operaciones'!$L$6,FALSE))</f>
        <v/>
      </c>
      <c r="L33" s="20" t="str">
        <f t="shared" si="5"/>
        <v/>
      </c>
      <c r="M33" s="88" t="str">
        <f>IF(A33=0,"",+VLOOKUP(A33,Tabla3[],'Registro de Operaciones'!$E$6,FALSE))</f>
        <v/>
      </c>
      <c r="N33" s="19" t="str">
        <f t="shared" si="6"/>
        <v/>
      </c>
      <c r="Q33">
        <f t="shared" si="3"/>
        <v>0</v>
      </c>
      <c r="R33" t="s">
        <v>311</v>
      </c>
      <c r="S33" t="s">
        <v>311</v>
      </c>
      <c r="T33" t="s">
        <v>311</v>
      </c>
      <c r="U33" t="s">
        <v>311</v>
      </c>
      <c r="V33" t="s">
        <v>311</v>
      </c>
      <c r="W33" t="s">
        <v>311</v>
      </c>
      <c r="X33" t="s">
        <v>311</v>
      </c>
      <c r="Y33" t="s">
        <v>311</v>
      </c>
      <c r="Z33" t="s">
        <v>311</v>
      </c>
      <c r="AA33" t="s">
        <v>311</v>
      </c>
      <c r="AB33" t="s">
        <v>311</v>
      </c>
      <c r="AC33" t="s">
        <v>311</v>
      </c>
      <c r="AD33" t="s">
        <v>311</v>
      </c>
    </row>
    <row r="34" spans="1:30" x14ac:dyDescent="0.25">
      <c r="A34" s="29">
        <f>+BD!AA35</f>
        <v>0</v>
      </c>
      <c r="B34" s="17" t="str">
        <f>IF(A34=0,"",VLOOKUP(+VLOOKUP(A34,Tabla3[],'Registro de Operaciones'!$F$6,FALSE),DOI_Tipo,2,FALSE))</f>
        <v/>
      </c>
      <c r="C34" s="19" t="str">
        <f>IF(A34=0,"",+VLOOKUP(A34,Tabla3[#All],'Registro de Operaciones'!$G$6,FALSE))</f>
        <v/>
      </c>
      <c r="D34" s="18" t="str">
        <f>IF(A34=0,"",VLOOKUP(+VLOOKUP(A34,Tabla3[],'Registro de Operaciones'!$N$6,FALSE),Tipo_Abono,2,FALSE))</f>
        <v/>
      </c>
      <c r="E34" s="19" t="str">
        <f>IF(A34=0,"",+VLOOKUP(A34,Tabla3[],'Registro de Operaciones'!$O$6,FALSE))</f>
        <v/>
      </c>
      <c r="F34" s="19" t="str">
        <f>IF(A34=0,"",+VLOOKUP(A34,Tabla3[],'Registro de Operaciones'!$H$6,FALSE))</f>
        <v/>
      </c>
      <c r="G34" s="32" t="str">
        <f>IF(A34=0,"",ROUND(+VLOOKUP(A34,Tabla3[],'Registro de Operaciones'!$X$6,FALSE),2))</f>
        <v/>
      </c>
      <c r="H34" s="20" t="str">
        <f>IF(A34=0,"",VLOOKUP(+VLOOKUP(A34,Tabla3[],'Registro de Operaciones'!$I$6,FALSE),Tipo_Recibo,2,FALSE))</f>
        <v/>
      </c>
      <c r="I34" s="19" t="str">
        <f>IF(A34=0,"",+VLOOKUP(A34,Tabla3[],'Registro de Operaciones'!$J$6,FALSE))</f>
        <v/>
      </c>
      <c r="J34" s="20" t="str">
        <f t="shared" si="4"/>
        <v/>
      </c>
      <c r="K34" s="19" t="str">
        <f>IF(A34=0,"",+VLOOKUP(A34,Tabla3[],'Registro de Operaciones'!$L$6,FALSE))</f>
        <v/>
      </c>
      <c r="L34" s="20" t="str">
        <f t="shared" si="5"/>
        <v/>
      </c>
      <c r="M34" s="88" t="str">
        <f>IF(A34=0,"",+VLOOKUP(A34,Tabla3[],'Registro de Operaciones'!$E$6,FALSE))</f>
        <v/>
      </c>
      <c r="N34" s="19" t="str">
        <f t="shared" si="6"/>
        <v/>
      </c>
      <c r="Q34">
        <f t="shared" si="3"/>
        <v>0</v>
      </c>
      <c r="R34" t="s">
        <v>311</v>
      </c>
      <c r="S34" t="s">
        <v>311</v>
      </c>
      <c r="T34" t="s">
        <v>311</v>
      </c>
      <c r="U34" t="s">
        <v>311</v>
      </c>
      <c r="V34" t="s">
        <v>311</v>
      </c>
      <c r="W34" t="s">
        <v>311</v>
      </c>
      <c r="X34" t="s">
        <v>311</v>
      </c>
      <c r="Y34" t="s">
        <v>311</v>
      </c>
      <c r="Z34" t="s">
        <v>311</v>
      </c>
      <c r="AA34" t="s">
        <v>311</v>
      </c>
      <c r="AB34" t="s">
        <v>311</v>
      </c>
      <c r="AC34" t="s">
        <v>311</v>
      </c>
      <c r="AD34" t="s">
        <v>311</v>
      </c>
    </row>
    <row r="35" spans="1:30" x14ac:dyDescent="0.25">
      <c r="A35" s="29">
        <f>+BD!AA36</f>
        <v>0</v>
      </c>
      <c r="B35" s="17" t="str">
        <f>IF(A35=0,"",VLOOKUP(+VLOOKUP(A35,Tabla3[],'Registro de Operaciones'!$F$6,FALSE),DOI_Tipo,2,FALSE))</f>
        <v/>
      </c>
      <c r="C35" s="19" t="str">
        <f>IF(A35=0,"",+VLOOKUP(A35,Tabla3[#All],'Registro de Operaciones'!$G$6,FALSE))</f>
        <v/>
      </c>
      <c r="D35" s="18" t="str">
        <f>IF(A35=0,"",VLOOKUP(+VLOOKUP(A35,Tabla3[],'Registro de Operaciones'!$N$6,FALSE),Tipo_Abono,2,FALSE))</f>
        <v/>
      </c>
      <c r="E35" s="19" t="str">
        <f>IF(A35=0,"",+VLOOKUP(A35,Tabla3[],'Registro de Operaciones'!$O$6,FALSE))</f>
        <v/>
      </c>
      <c r="F35" s="19" t="str">
        <f>IF(A35=0,"",+VLOOKUP(A35,Tabla3[],'Registro de Operaciones'!$H$6,FALSE))</f>
        <v/>
      </c>
      <c r="G35" s="32" t="str">
        <f>IF(A35=0,"",ROUND(+VLOOKUP(A35,Tabla3[],'Registro de Operaciones'!$X$6,FALSE),2))</f>
        <v/>
      </c>
      <c r="H35" s="20" t="str">
        <f>IF(A35=0,"",VLOOKUP(+VLOOKUP(A35,Tabla3[],'Registro de Operaciones'!$I$6,FALSE),Tipo_Recibo,2,FALSE))</f>
        <v/>
      </c>
      <c r="I35" s="19" t="str">
        <f>IF(A35=0,"",+VLOOKUP(A35,Tabla3[],'Registro de Operaciones'!$J$6,FALSE))</f>
        <v/>
      </c>
      <c r="J35" s="20" t="str">
        <f t="shared" si="4"/>
        <v/>
      </c>
      <c r="K35" s="19" t="str">
        <f>IF(A35=0,"",+VLOOKUP(A35,Tabla3[],'Registro de Operaciones'!$L$6,FALSE))</f>
        <v/>
      </c>
      <c r="L35" s="20" t="str">
        <f t="shared" si="5"/>
        <v/>
      </c>
      <c r="M35" s="88" t="str">
        <f>IF(A35=0,"",+VLOOKUP(A35,Tabla3[],'Registro de Operaciones'!$E$6,FALSE))</f>
        <v/>
      </c>
      <c r="N35" s="19" t="str">
        <f t="shared" si="6"/>
        <v/>
      </c>
      <c r="Q35">
        <f t="shared" si="3"/>
        <v>0</v>
      </c>
      <c r="R35" t="s">
        <v>311</v>
      </c>
      <c r="S35" t="s">
        <v>311</v>
      </c>
      <c r="T35" t="s">
        <v>311</v>
      </c>
      <c r="U35" t="s">
        <v>311</v>
      </c>
      <c r="V35" t="s">
        <v>311</v>
      </c>
      <c r="W35" t="s">
        <v>311</v>
      </c>
      <c r="X35" t="s">
        <v>311</v>
      </c>
      <c r="Y35" t="s">
        <v>311</v>
      </c>
      <c r="Z35" t="s">
        <v>311</v>
      </c>
      <c r="AA35" t="s">
        <v>311</v>
      </c>
      <c r="AB35" t="s">
        <v>311</v>
      </c>
      <c r="AC35" t="s">
        <v>311</v>
      </c>
      <c r="AD35" t="s">
        <v>311</v>
      </c>
    </row>
    <row r="36" spans="1:30" x14ac:dyDescent="0.25">
      <c r="A36" s="29">
        <f>+BD!AA37</f>
        <v>0</v>
      </c>
      <c r="B36" s="17" t="str">
        <f>IF(A36=0,"",VLOOKUP(+VLOOKUP(A36,Tabla3[],'Registro de Operaciones'!$F$6,FALSE),DOI_Tipo,2,FALSE))</f>
        <v/>
      </c>
      <c r="C36" s="19" t="str">
        <f>IF(A36=0,"",+VLOOKUP(A36,Tabla3[#All],'Registro de Operaciones'!$G$6,FALSE))</f>
        <v/>
      </c>
      <c r="D36" s="18" t="str">
        <f>IF(A36=0,"",VLOOKUP(+VLOOKUP(A36,Tabla3[],'Registro de Operaciones'!$N$6,FALSE),Tipo_Abono,2,FALSE))</f>
        <v/>
      </c>
      <c r="E36" s="19" t="str">
        <f>IF(A36=0,"",+VLOOKUP(A36,Tabla3[],'Registro de Operaciones'!$O$6,FALSE))</f>
        <v/>
      </c>
      <c r="F36" s="19" t="str">
        <f>IF(A36=0,"",+VLOOKUP(A36,Tabla3[],'Registro de Operaciones'!$H$6,FALSE))</f>
        <v/>
      </c>
      <c r="G36" s="32" t="str">
        <f>IF(A36=0,"",ROUND(+VLOOKUP(A36,Tabla3[],'Registro de Operaciones'!$X$6,FALSE),2))</f>
        <v/>
      </c>
      <c r="H36" s="20" t="str">
        <f>IF(A36=0,"",VLOOKUP(+VLOOKUP(A36,Tabla3[],'Registro de Operaciones'!$I$6,FALSE),Tipo_Recibo,2,FALSE))</f>
        <v/>
      </c>
      <c r="I36" s="19" t="str">
        <f>IF(A36=0,"",+VLOOKUP(A36,Tabla3[],'Registro de Operaciones'!$J$6,FALSE))</f>
        <v/>
      </c>
      <c r="J36" s="20" t="str">
        <f t="shared" si="4"/>
        <v/>
      </c>
      <c r="K36" s="19" t="str">
        <f>IF(A36=0,"",+VLOOKUP(A36,Tabla3[],'Registro de Operaciones'!$L$6,FALSE))</f>
        <v/>
      </c>
      <c r="L36" s="20" t="str">
        <f t="shared" si="5"/>
        <v/>
      </c>
      <c r="M36" s="88" t="str">
        <f>IF(A36=0,"",+VLOOKUP(A36,Tabla3[],'Registro de Operaciones'!$E$6,FALSE))</f>
        <v/>
      </c>
      <c r="N36" s="19" t="str">
        <f t="shared" si="6"/>
        <v/>
      </c>
      <c r="Q36">
        <f t="shared" si="3"/>
        <v>0</v>
      </c>
      <c r="R36" t="s">
        <v>311</v>
      </c>
      <c r="S36" t="s">
        <v>311</v>
      </c>
      <c r="T36" t="s">
        <v>311</v>
      </c>
      <c r="U36" t="s">
        <v>311</v>
      </c>
      <c r="V36" t="s">
        <v>311</v>
      </c>
      <c r="W36" t="s">
        <v>311</v>
      </c>
      <c r="X36" t="s">
        <v>311</v>
      </c>
      <c r="Y36" t="s">
        <v>311</v>
      </c>
      <c r="Z36" t="s">
        <v>311</v>
      </c>
      <c r="AA36" t="s">
        <v>311</v>
      </c>
      <c r="AB36" t="s">
        <v>311</v>
      </c>
      <c r="AC36" t="s">
        <v>311</v>
      </c>
      <c r="AD36" t="s">
        <v>311</v>
      </c>
    </row>
    <row r="37" spans="1:30" x14ac:dyDescent="0.25">
      <c r="A37" s="29">
        <f>+BD!AA38</f>
        <v>0</v>
      </c>
      <c r="B37" s="17" t="str">
        <f>IF(A37=0,"",VLOOKUP(+VLOOKUP(A37,Tabla3[],'Registro de Operaciones'!$F$6,FALSE),DOI_Tipo,2,FALSE))</f>
        <v/>
      </c>
      <c r="C37" s="19" t="str">
        <f>IF(A37=0,"",+VLOOKUP(A37,Tabla3[#All],'Registro de Operaciones'!$G$6,FALSE))</f>
        <v/>
      </c>
      <c r="D37" s="18" t="str">
        <f>IF(A37=0,"",VLOOKUP(+VLOOKUP(A37,Tabla3[],'Registro de Operaciones'!$N$6,FALSE),Tipo_Abono,2,FALSE))</f>
        <v/>
      </c>
      <c r="E37" s="19" t="str">
        <f>IF(A37=0,"",+VLOOKUP(A37,Tabla3[],'Registro de Operaciones'!$O$6,FALSE))</f>
        <v/>
      </c>
      <c r="F37" s="19" t="str">
        <f>IF(A37=0,"",+VLOOKUP(A37,Tabla3[],'Registro de Operaciones'!$H$6,FALSE))</f>
        <v/>
      </c>
      <c r="G37" s="32" t="str">
        <f>IF(A37=0,"",ROUND(+VLOOKUP(A37,Tabla3[],'Registro de Operaciones'!$X$6,FALSE),2))</f>
        <v/>
      </c>
      <c r="H37" s="20" t="str">
        <f>IF(A37=0,"",VLOOKUP(+VLOOKUP(A37,Tabla3[],'Registro de Operaciones'!$I$6,FALSE),Tipo_Recibo,2,FALSE))</f>
        <v/>
      </c>
      <c r="I37" s="19" t="str">
        <f>IF(A37=0,"",+VLOOKUP(A37,Tabla3[],'Registro de Operaciones'!$J$6,FALSE))</f>
        <v/>
      </c>
      <c r="J37" s="20" t="str">
        <f t="shared" si="4"/>
        <v/>
      </c>
      <c r="K37" s="19" t="str">
        <f>IF(A37=0,"",+VLOOKUP(A37,Tabla3[],'Registro de Operaciones'!$L$6,FALSE))</f>
        <v/>
      </c>
      <c r="L37" s="20" t="str">
        <f t="shared" si="5"/>
        <v/>
      </c>
      <c r="M37" s="88" t="str">
        <f>IF(A37=0,"",+VLOOKUP(A37,Tabla3[],'Registro de Operaciones'!$E$6,FALSE))</f>
        <v/>
      </c>
      <c r="N37" s="19" t="str">
        <f t="shared" si="6"/>
        <v/>
      </c>
      <c r="Q37">
        <f t="shared" si="3"/>
        <v>0</v>
      </c>
      <c r="R37" t="s">
        <v>311</v>
      </c>
      <c r="S37" t="s">
        <v>311</v>
      </c>
      <c r="T37" t="s">
        <v>311</v>
      </c>
      <c r="U37" t="s">
        <v>311</v>
      </c>
      <c r="V37" t="s">
        <v>311</v>
      </c>
      <c r="W37" t="s">
        <v>311</v>
      </c>
      <c r="X37" t="s">
        <v>311</v>
      </c>
      <c r="Y37" t="s">
        <v>311</v>
      </c>
      <c r="Z37" t="s">
        <v>311</v>
      </c>
      <c r="AA37" t="s">
        <v>311</v>
      </c>
      <c r="AB37" t="s">
        <v>311</v>
      </c>
      <c r="AC37" t="s">
        <v>311</v>
      </c>
      <c r="AD37" t="s">
        <v>311</v>
      </c>
    </row>
    <row r="38" spans="1:30" x14ac:dyDescent="0.25">
      <c r="A38" s="29">
        <f>+BD!AA39</f>
        <v>0</v>
      </c>
      <c r="B38" s="17" t="str">
        <f>IF(A38=0,"",VLOOKUP(+VLOOKUP(A38,Tabla3[],'Registro de Operaciones'!$F$6,FALSE),DOI_Tipo,2,FALSE))</f>
        <v/>
      </c>
      <c r="C38" s="19" t="str">
        <f>IF(A38=0,"",+VLOOKUP(A38,Tabla3[#All],'Registro de Operaciones'!$G$6,FALSE))</f>
        <v/>
      </c>
      <c r="D38" s="18" t="str">
        <f>IF(A38=0,"",VLOOKUP(+VLOOKUP(A38,Tabla3[],'Registro de Operaciones'!$N$6,FALSE),Tipo_Abono,2,FALSE))</f>
        <v/>
      </c>
      <c r="E38" s="19" t="str">
        <f>IF(A38=0,"",+VLOOKUP(A38,Tabla3[],'Registro de Operaciones'!$O$6,FALSE))</f>
        <v/>
      </c>
      <c r="F38" s="19" t="str">
        <f>IF(A38=0,"",+VLOOKUP(A38,Tabla3[],'Registro de Operaciones'!$H$6,FALSE))</f>
        <v/>
      </c>
      <c r="G38" s="32" t="str">
        <f>IF(A38=0,"",ROUND(+VLOOKUP(A38,Tabla3[],'Registro de Operaciones'!$X$6,FALSE),2))</f>
        <v/>
      </c>
      <c r="H38" s="20" t="str">
        <f>IF(A38=0,"",VLOOKUP(+VLOOKUP(A38,Tabla3[],'Registro de Operaciones'!$I$6,FALSE),Tipo_Recibo,2,FALSE))</f>
        <v/>
      </c>
      <c r="I38" s="19" t="str">
        <f>IF(A38=0,"",+VLOOKUP(A38,Tabla3[],'Registro de Operaciones'!$J$6,FALSE))</f>
        <v/>
      </c>
      <c r="J38" s="20" t="str">
        <f t="shared" si="4"/>
        <v/>
      </c>
      <c r="K38" s="19" t="str">
        <f>IF(A38=0,"",+VLOOKUP(A38,Tabla3[],'Registro de Operaciones'!$L$6,FALSE))</f>
        <v/>
      </c>
      <c r="L38" s="20" t="str">
        <f t="shared" si="5"/>
        <v/>
      </c>
      <c r="M38" s="88" t="str">
        <f>IF(A38=0,"",+VLOOKUP(A38,Tabla3[],'Registro de Operaciones'!$E$6,FALSE))</f>
        <v/>
      </c>
      <c r="N38" s="19" t="str">
        <f t="shared" si="6"/>
        <v/>
      </c>
      <c r="Q38">
        <f t="shared" si="3"/>
        <v>0</v>
      </c>
      <c r="R38" t="s">
        <v>311</v>
      </c>
      <c r="S38" t="s">
        <v>311</v>
      </c>
      <c r="T38" t="s">
        <v>311</v>
      </c>
      <c r="U38" t="s">
        <v>311</v>
      </c>
      <c r="V38" t="s">
        <v>311</v>
      </c>
      <c r="W38" t="s">
        <v>311</v>
      </c>
      <c r="X38" t="s">
        <v>311</v>
      </c>
      <c r="Y38" t="s">
        <v>311</v>
      </c>
      <c r="Z38" t="s">
        <v>311</v>
      </c>
      <c r="AA38" t="s">
        <v>311</v>
      </c>
      <c r="AB38" t="s">
        <v>311</v>
      </c>
      <c r="AC38" t="s">
        <v>311</v>
      </c>
      <c r="AD38" t="s">
        <v>311</v>
      </c>
    </row>
    <row r="39" spans="1:30" x14ac:dyDescent="0.25">
      <c r="A39" s="29">
        <f>+BD!AA40</f>
        <v>0</v>
      </c>
      <c r="B39" s="17" t="str">
        <f>IF(A39=0,"",VLOOKUP(+VLOOKUP(A39,Tabla3[],'Registro de Operaciones'!$F$6,FALSE),DOI_Tipo,2,FALSE))</f>
        <v/>
      </c>
      <c r="C39" s="19" t="str">
        <f>IF(A39=0,"",+VLOOKUP(A39,Tabla3[#All],'Registro de Operaciones'!$G$6,FALSE))</f>
        <v/>
      </c>
      <c r="D39" s="18" t="str">
        <f>IF(A39=0,"",VLOOKUP(+VLOOKUP(A39,Tabla3[],'Registro de Operaciones'!$N$6,FALSE),Tipo_Abono,2,FALSE))</f>
        <v/>
      </c>
      <c r="E39" s="19" t="str">
        <f>IF(A39=0,"",+VLOOKUP(A39,Tabla3[],'Registro de Operaciones'!$O$6,FALSE))</f>
        <v/>
      </c>
      <c r="F39" s="19" t="str">
        <f>IF(A39=0,"",+VLOOKUP(A39,Tabla3[],'Registro de Operaciones'!$H$6,FALSE))</f>
        <v/>
      </c>
      <c r="G39" s="32" t="str">
        <f>IF(A39=0,"",ROUND(+VLOOKUP(A39,Tabla3[],'Registro de Operaciones'!$X$6,FALSE),2))</f>
        <v/>
      </c>
      <c r="H39" s="20" t="str">
        <f>IF(A39=0,"",VLOOKUP(+VLOOKUP(A39,Tabla3[],'Registro de Operaciones'!$I$6,FALSE),Tipo_Recibo,2,FALSE))</f>
        <v/>
      </c>
      <c r="I39" s="19" t="str">
        <f>IF(A39=0,"",+VLOOKUP(A39,Tabla3[],'Registro de Operaciones'!$J$6,FALSE))</f>
        <v/>
      </c>
      <c r="J39" s="20" t="str">
        <f t="shared" si="4"/>
        <v/>
      </c>
      <c r="K39" s="19" t="str">
        <f>IF(A39=0,"",+VLOOKUP(A39,Tabla3[],'Registro de Operaciones'!$L$6,FALSE))</f>
        <v/>
      </c>
      <c r="L39" s="20" t="str">
        <f t="shared" si="5"/>
        <v/>
      </c>
      <c r="M39" s="88" t="str">
        <f>IF(A39=0,"",+VLOOKUP(A39,Tabla3[],'Registro de Operaciones'!$E$6,FALSE))</f>
        <v/>
      </c>
      <c r="N39" s="19" t="str">
        <f t="shared" si="6"/>
        <v/>
      </c>
      <c r="Q39">
        <f t="shared" si="3"/>
        <v>0</v>
      </c>
      <c r="R39" t="s">
        <v>311</v>
      </c>
      <c r="S39" t="s">
        <v>311</v>
      </c>
      <c r="T39" t="s">
        <v>311</v>
      </c>
      <c r="U39" t="s">
        <v>311</v>
      </c>
      <c r="V39" t="s">
        <v>311</v>
      </c>
      <c r="W39" t="s">
        <v>311</v>
      </c>
      <c r="X39" t="s">
        <v>311</v>
      </c>
      <c r="Y39" t="s">
        <v>311</v>
      </c>
      <c r="Z39" t="s">
        <v>311</v>
      </c>
      <c r="AA39" t="s">
        <v>311</v>
      </c>
      <c r="AB39" t="s">
        <v>311</v>
      </c>
      <c r="AC39" t="s">
        <v>311</v>
      </c>
      <c r="AD39" t="s">
        <v>311</v>
      </c>
    </row>
    <row r="40" spans="1:30" x14ac:dyDescent="0.25">
      <c r="A40" s="29">
        <f>+BD!AA41</f>
        <v>0</v>
      </c>
      <c r="B40" s="17" t="str">
        <f>IF(A40=0,"",VLOOKUP(+VLOOKUP(A40,Tabla3[],'Registro de Operaciones'!$F$6,FALSE),DOI_Tipo,2,FALSE))</f>
        <v/>
      </c>
      <c r="C40" s="19" t="str">
        <f>IF(A40=0,"",+VLOOKUP(A40,Tabla3[#All],'Registro de Operaciones'!$G$6,FALSE))</f>
        <v/>
      </c>
      <c r="D40" s="18" t="str">
        <f>IF(A40=0,"",VLOOKUP(+VLOOKUP(A40,Tabla3[],'Registro de Operaciones'!$N$6,FALSE),Tipo_Abono,2,FALSE))</f>
        <v/>
      </c>
      <c r="E40" s="19" t="str">
        <f>IF(A40=0,"",+VLOOKUP(A40,Tabla3[],'Registro de Operaciones'!$O$6,FALSE))</f>
        <v/>
      </c>
      <c r="F40" s="19" t="str">
        <f>IF(A40=0,"",+VLOOKUP(A40,Tabla3[],'Registro de Operaciones'!$H$6,FALSE))</f>
        <v/>
      </c>
      <c r="G40" s="32" t="str">
        <f>IF(A40=0,"",ROUND(+VLOOKUP(A40,Tabla3[],'Registro de Operaciones'!$X$6,FALSE),2))</f>
        <v/>
      </c>
      <c r="H40" s="20" t="str">
        <f>IF(A40=0,"",VLOOKUP(+VLOOKUP(A40,Tabla3[],'Registro de Operaciones'!$I$6,FALSE),Tipo_Recibo,2,FALSE))</f>
        <v/>
      </c>
      <c r="I40" s="19" t="str">
        <f>IF(A40=0,"",+VLOOKUP(A40,Tabla3[],'Registro de Operaciones'!$J$6,FALSE))</f>
        <v/>
      </c>
      <c r="J40" s="20" t="str">
        <f t="shared" si="4"/>
        <v/>
      </c>
      <c r="K40" s="19" t="str">
        <f>IF(A40=0,"",+VLOOKUP(A40,Tabla3[],'Registro de Operaciones'!$L$6,FALSE))</f>
        <v/>
      </c>
      <c r="L40" s="20" t="str">
        <f t="shared" si="5"/>
        <v/>
      </c>
      <c r="M40" s="88" t="str">
        <f>IF(A40=0,"",+VLOOKUP(A40,Tabla3[],'Registro de Operaciones'!$E$6,FALSE))</f>
        <v/>
      </c>
      <c r="N40" s="19" t="str">
        <f t="shared" si="6"/>
        <v/>
      </c>
      <c r="Q40">
        <f t="shared" si="3"/>
        <v>0</v>
      </c>
      <c r="R40" t="s">
        <v>311</v>
      </c>
      <c r="S40" t="s">
        <v>311</v>
      </c>
      <c r="T40" t="s">
        <v>311</v>
      </c>
      <c r="U40" t="s">
        <v>311</v>
      </c>
      <c r="V40" t="s">
        <v>311</v>
      </c>
      <c r="W40" t="s">
        <v>311</v>
      </c>
      <c r="X40" t="s">
        <v>311</v>
      </c>
      <c r="Y40" t="s">
        <v>311</v>
      </c>
      <c r="Z40" t="s">
        <v>311</v>
      </c>
      <c r="AA40" t="s">
        <v>311</v>
      </c>
      <c r="AB40" t="s">
        <v>311</v>
      </c>
      <c r="AC40" t="s">
        <v>311</v>
      </c>
      <c r="AD40" t="s">
        <v>311</v>
      </c>
    </row>
    <row r="41" spans="1:30" x14ac:dyDescent="0.25">
      <c r="A41" s="29">
        <f>+BD!AA42</f>
        <v>0</v>
      </c>
      <c r="B41" s="17" t="str">
        <f>IF(A41=0,"",VLOOKUP(+VLOOKUP(A41,Tabla3[],'Registro de Operaciones'!$F$6,FALSE),DOI_Tipo,2,FALSE))</f>
        <v/>
      </c>
      <c r="C41" s="19" t="str">
        <f>IF(A41=0,"",+VLOOKUP(A41,Tabla3[#All],'Registro de Operaciones'!$G$6,FALSE))</f>
        <v/>
      </c>
      <c r="D41" s="18" t="str">
        <f>IF(A41=0,"",VLOOKUP(+VLOOKUP(A41,Tabla3[],'Registro de Operaciones'!$N$6,FALSE),Tipo_Abono,2,FALSE))</f>
        <v/>
      </c>
      <c r="E41" s="19" t="str">
        <f>IF(A41=0,"",+VLOOKUP(A41,Tabla3[],'Registro de Operaciones'!$O$6,FALSE))</f>
        <v/>
      </c>
      <c r="F41" s="19" t="str">
        <f>IF(A41=0,"",+VLOOKUP(A41,Tabla3[],'Registro de Operaciones'!$H$6,FALSE))</f>
        <v/>
      </c>
      <c r="G41" s="32" t="str">
        <f>IF(A41=0,"",ROUND(+VLOOKUP(A41,Tabla3[],'Registro de Operaciones'!$X$6,FALSE),2))</f>
        <v/>
      </c>
      <c r="H41" s="20" t="str">
        <f>IF(A41=0,"",VLOOKUP(+VLOOKUP(A41,Tabla3[],'Registro de Operaciones'!$I$6,FALSE),Tipo_Recibo,2,FALSE))</f>
        <v/>
      </c>
      <c r="I41" s="19" t="str">
        <f>IF(A41=0,"",+VLOOKUP(A41,Tabla3[],'Registro de Operaciones'!$J$6,FALSE))</f>
        <v/>
      </c>
      <c r="J41" s="20" t="str">
        <f t="shared" si="4"/>
        <v/>
      </c>
      <c r="K41" s="19" t="str">
        <f>IF(A41=0,"",+VLOOKUP(A41,Tabla3[],'Registro de Operaciones'!$L$6,FALSE))</f>
        <v/>
      </c>
      <c r="L41" s="20" t="str">
        <f t="shared" si="5"/>
        <v/>
      </c>
      <c r="M41" s="88" t="str">
        <f>IF(A41=0,"",+VLOOKUP(A41,Tabla3[],'Registro de Operaciones'!$E$6,FALSE))</f>
        <v/>
      </c>
      <c r="N41" s="19" t="str">
        <f t="shared" si="6"/>
        <v/>
      </c>
      <c r="Q41">
        <f t="shared" si="3"/>
        <v>0</v>
      </c>
      <c r="R41" t="s">
        <v>311</v>
      </c>
      <c r="S41" t="s">
        <v>311</v>
      </c>
      <c r="T41" t="s">
        <v>311</v>
      </c>
      <c r="U41" t="s">
        <v>311</v>
      </c>
      <c r="V41" t="s">
        <v>311</v>
      </c>
      <c r="W41" t="s">
        <v>311</v>
      </c>
      <c r="X41" t="s">
        <v>311</v>
      </c>
      <c r="Y41" t="s">
        <v>311</v>
      </c>
      <c r="Z41" t="s">
        <v>311</v>
      </c>
      <c r="AA41" t="s">
        <v>311</v>
      </c>
      <c r="AB41" t="s">
        <v>311</v>
      </c>
      <c r="AC41" t="s">
        <v>311</v>
      </c>
      <c r="AD41" t="s">
        <v>311</v>
      </c>
    </row>
    <row r="42" spans="1:30" x14ac:dyDescent="0.25">
      <c r="A42" s="29">
        <f>+BD!AA43</f>
        <v>0</v>
      </c>
      <c r="B42" s="17" t="str">
        <f>IF(A42=0,"",VLOOKUP(+VLOOKUP(A42,Tabla3[],'Registro de Operaciones'!$F$6,FALSE),DOI_Tipo,2,FALSE))</f>
        <v/>
      </c>
      <c r="C42" s="19" t="str">
        <f>IF(A42=0,"",+VLOOKUP(A42,Tabla3[#All],'Registro de Operaciones'!$G$6,FALSE))</f>
        <v/>
      </c>
      <c r="D42" s="18" t="str">
        <f>IF(A42=0,"",VLOOKUP(+VLOOKUP(A42,Tabla3[],'Registro de Operaciones'!$N$6,FALSE),Tipo_Abono,2,FALSE))</f>
        <v/>
      </c>
      <c r="E42" s="19" t="str">
        <f>IF(A42=0,"",+VLOOKUP(A42,Tabla3[],'Registro de Operaciones'!$O$6,FALSE))</f>
        <v/>
      </c>
      <c r="F42" s="19" t="str">
        <f>IF(A42=0,"",+VLOOKUP(A42,Tabla3[],'Registro de Operaciones'!$H$6,FALSE))</f>
        <v/>
      </c>
      <c r="G42" s="32" t="str">
        <f>IF(A42=0,"",ROUND(+VLOOKUP(A42,Tabla3[],'Registro de Operaciones'!$X$6,FALSE),2))</f>
        <v/>
      </c>
      <c r="H42" s="20" t="str">
        <f>IF(A42=0,"",VLOOKUP(+VLOOKUP(A42,Tabla3[],'Registro de Operaciones'!$I$6,FALSE),Tipo_Recibo,2,FALSE))</f>
        <v/>
      </c>
      <c r="I42" s="19" t="str">
        <f>IF(A42=0,"",+VLOOKUP(A42,Tabla3[],'Registro de Operaciones'!$J$6,FALSE))</f>
        <v/>
      </c>
      <c r="J42" s="20" t="str">
        <f t="shared" si="4"/>
        <v/>
      </c>
      <c r="K42" s="19" t="str">
        <f>IF(A42=0,"",+VLOOKUP(A42,Tabla3[],'Registro de Operaciones'!$L$6,FALSE))</f>
        <v/>
      </c>
      <c r="L42" s="20" t="str">
        <f t="shared" si="5"/>
        <v/>
      </c>
      <c r="M42" s="88" t="str">
        <f>IF(A42=0,"",+VLOOKUP(A42,Tabla3[],'Registro de Operaciones'!$E$6,FALSE))</f>
        <v/>
      </c>
      <c r="N42" s="19" t="str">
        <f t="shared" si="6"/>
        <v/>
      </c>
      <c r="Q42">
        <f t="shared" si="3"/>
        <v>0</v>
      </c>
      <c r="R42" t="s">
        <v>311</v>
      </c>
      <c r="S42" t="s">
        <v>311</v>
      </c>
      <c r="T42" t="s">
        <v>311</v>
      </c>
      <c r="U42" t="s">
        <v>311</v>
      </c>
      <c r="V42" t="s">
        <v>311</v>
      </c>
      <c r="W42" t="s">
        <v>311</v>
      </c>
      <c r="X42" t="s">
        <v>311</v>
      </c>
      <c r="Y42" t="s">
        <v>311</v>
      </c>
      <c r="Z42" t="s">
        <v>311</v>
      </c>
      <c r="AA42" t="s">
        <v>311</v>
      </c>
      <c r="AB42" t="s">
        <v>311</v>
      </c>
      <c r="AC42" t="s">
        <v>311</v>
      </c>
      <c r="AD42" t="s">
        <v>311</v>
      </c>
    </row>
    <row r="43" spans="1:30" x14ac:dyDescent="0.25">
      <c r="A43" s="29">
        <f>+BD!AA44</f>
        <v>0</v>
      </c>
      <c r="B43" s="17" t="str">
        <f>IF(A43=0,"",VLOOKUP(+VLOOKUP(A43,Tabla3[],'Registro de Operaciones'!$F$6,FALSE),DOI_Tipo,2,FALSE))</f>
        <v/>
      </c>
      <c r="C43" s="19" t="str">
        <f>IF(A43=0,"",+VLOOKUP(A43,Tabla3[#All],'Registro de Operaciones'!$G$6,FALSE))</f>
        <v/>
      </c>
      <c r="D43" s="18" t="str">
        <f>IF(A43=0,"",VLOOKUP(+VLOOKUP(A43,Tabla3[],'Registro de Operaciones'!$N$6,FALSE),Tipo_Abono,2,FALSE))</f>
        <v/>
      </c>
      <c r="E43" s="19" t="str">
        <f>IF(A43=0,"",+VLOOKUP(A43,Tabla3[],'Registro de Operaciones'!$O$6,FALSE))</f>
        <v/>
      </c>
      <c r="F43" s="19" t="str">
        <f>IF(A43=0,"",+VLOOKUP(A43,Tabla3[],'Registro de Operaciones'!$H$6,FALSE))</f>
        <v/>
      </c>
      <c r="G43" s="32" t="str">
        <f>IF(A43=0,"",ROUND(+VLOOKUP(A43,Tabla3[],'Registro de Operaciones'!$X$6,FALSE),2))</f>
        <v/>
      </c>
      <c r="H43" s="20" t="str">
        <f>IF(A43=0,"",VLOOKUP(+VLOOKUP(A43,Tabla3[],'Registro de Operaciones'!$I$6,FALSE),Tipo_Recibo,2,FALSE))</f>
        <v/>
      </c>
      <c r="I43" s="19" t="str">
        <f>IF(A43=0,"",+VLOOKUP(A43,Tabla3[],'Registro de Operaciones'!$J$6,FALSE))</f>
        <v/>
      </c>
      <c r="J43" s="20" t="str">
        <f t="shared" si="4"/>
        <v/>
      </c>
      <c r="K43" s="19" t="str">
        <f>IF(A43=0,"",+VLOOKUP(A43,Tabla3[],'Registro de Operaciones'!$L$6,FALSE))</f>
        <v/>
      </c>
      <c r="L43" s="20" t="str">
        <f t="shared" si="5"/>
        <v/>
      </c>
      <c r="M43" s="88" t="str">
        <f>IF(A43=0,"",+VLOOKUP(A43,Tabla3[],'Registro de Operaciones'!$E$6,FALSE))</f>
        <v/>
      </c>
      <c r="N43" s="19" t="str">
        <f t="shared" si="6"/>
        <v/>
      </c>
      <c r="Q43">
        <f t="shared" si="3"/>
        <v>0</v>
      </c>
      <c r="R43" t="s">
        <v>311</v>
      </c>
      <c r="S43" t="s">
        <v>311</v>
      </c>
      <c r="T43" t="s">
        <v>311</v>
      </c>
      <c r="U43" t="s">
        <v>311</v>
      </c>
      <c r="V43" t="s">
        <v>311</v>
      </c>
      <c r="W43" t="s">
        <v>311</v>
      </c>
      <c r="X43" t="s">
        <v>311</v>
      </c>
      <c r="Y43" t="s">
        <v>311</v>
      </c>
      <c r="Z43" t="s">
        <v>311</v>
      </c>
      <c r="AA43" t="s">
        <v>311</v>
      </c>
      <c r="AB43" t="s">
        <v>311</v>
      </c>
      <c r="AC43" t="s">
        <v>311</v>
      </c>
      <c r="AD43" t="s">
        <v>311</v>
      </c>
    </row>
    <row r="44" spans="1:30" x14ac:dyDescent="0.25">
      <c r="A44" s="29">
        <f>+BD!AA45</f>
        <v>0</v>
      </c>
      <c r="B44" s="17" t="str">
        <f>IF(A44=0,"",VLOOKUP(+VLOOKUP(A44,Tabla3[],'Registro de Operaciones'!$F$6,FALSE),DOI_Tipo,2,FALSE))</f>
        <v/>
      </c>
      <c r="C44" s="19" t="str">
        <f>IF(A44=0,"",+VLOOKUP(A44,Tabla3[#All],'Registro de Operaciones'!$G$6,FALSE))</f>
        <v/>
      </c>
      <c r="D44" s="18" t="str">
        <f>IF(A44=0,"",VLOOKUP(+VLOOKUP(A44,Tabla3[],'Registro de Operaciones'!$N$6,FALSE),Tipo_Abono,2,FALSE))</f>
        <v/>
      </c>
      <c r="E44" s="19" t="str">
        <f>IF(A44=0,"",+VLOOKUP(A44,Tabla3[],'Registro de Operaciones'!$O$6,FALSE))</f>
        <v/>
      </c>
      <c r="F44" s="19" t="str">
        <f>IF(A44=0,"",+VLOOKUP(A44,Tabla3[],'Registro de Operaciones'!$H$6,FALSE))</f>
        <v/>
      </c>
      <c r="G44" s="32" t="str">
        <f>IF(A44=0,"",ROUND(+VLOOKUP(A44,Tabla3[],'Registro de Operaciones'!$X$6,FALSE),2))</f>
        <v/>
      </c>
      <c r="H44" s="20" t="str">
        <f>IF(A44=0,"",VLOOKUP(+VLOOKUP(A44,Tabla3[],'Registro de Operaciones'!$I$6,FALSE),Tipo_Recibo,2,FALSE))</f>
        <v/>
      </c>
      <c r="I44" s="19" t="str">
        <f>IF(A44=0,"",+VLOOKUP(A44,Tabla3[],'Registro de Operaciones'!$J$6,FALSE))</f>
        <v/>
      </c>
      <c r="J44" s="20" t="str">
        <f t="shared" si="4"/>
        <v/>
      </c>
      <c r="K44" s="19" t="str">
        <f>IF(A44=0,"",+VLOOKUP(A44,Tabla3[],'Registro de Operaciones'!$L$6,FALSE))</f>
        <v/>
      </c>
      <c r="L44" s="20" t="str">
        <f t="shared" si="5"/>
        <v/>
      </c>
      <c r="M44" s="88" t="str">
        <f>IF(A44=0,"",+VLOOKUP(A44,Tabla3[],'Registro de Operaciones'!$E$6,FALSE))</f>
        <v/>
      </c>
      <c r="N44" s="19" t="str">
        <f t="shared" si="6"/>
        <v/>
      </c>
      <c r="Q44">
        <f t="shared" si="3"/>
        <v>0</v>
      </c>
      <c r="R44" t="s">
        <v>311</v>
      </c>
      <c r="S44" t="s">
        <v>311</v>
      </c>
      <c r="T44" t="s">
        <v>311</v>
      </c>
      <c r="U44" t="s">
        <v>311</v>
      </c>
      <c r="V44" t="s">
        <v>311</v>
      </c>
      <c r="W44" t="s">
        <v>311</v>
      </c>
      <c r="X44" t="s">
        <v>311</v>
      </c>
      <c r="Y44" t="s">
        <v>311</v>
      </c>
      <c r="Z44" t="s">
        <v>311</v>
      </c>
      <c r="AA44" t="s">
        <v>311</v>
      </c>
      <c r="AB44" t="s">
        <v>311</v>
      </c>
      <c r="AC44" t="s">
        <v>311</v>
      </c>
      <c r="AD44" t="s">
        <v>311</v>
      </c>
    </row>
    <row r="45" spans="1:30" x14ac:dyDescent="0.25">
      <c r="A45" s="29">
        <f>+BD!AA46</f>
        <v>0</v>
      </c>
      <c r="B45" s="17" t="str">
        <f>IF(A45=0,"",VLOOKUP(+VLOOKUP(A45,Tabla3[],'Registro de Operaciones'!$F$6,FALSE),DOI_Tipo,2,FALSE))</f>
        <v/>
      </c>
      <c r="C45" s="19" t="str">
        <f>IF(A45=0,"",+VLOOKUP(A45,Tabla3[#All],'Registro de Operaciones'!$G$6,FALSE))</f>
        <v/>
      </c>
      <c r="D45" s="18" t="str">
        <f>IF(A45=0,"",VLOOKUP(+VLOOKUP(A45,Tabla3[],'Registro de Operaciones'!$N$6,FALSE),Tipo_Abono,2,FALSE))</f>
        <v/>
      </c>
      <c r="E45" s="19" t="str">
        <f>IF(A45=0,"",+VLOOKUP(A45,Tabla3[],'Registro de Operaciones'!$O$6,FALSE))</f>
        <v/>
      </c>
      <c r="F45" s="19" t="str">
        <f>IF(A45=0,"",+VLOOKUP(A45,Tabla3[],'Registro de Operaciones'!$H$6,FALSE))</f>
        <v/>
      </c>
      <c r="G45" s="32" t="str">
        <f>IF(A45=0,"",ROUND(+VLOOKUP(A45,Tabla3[],'Registro de Operaciones'!$X$6,FALSE),2))</f>
        <v/>
      </c>
      <c r="H45" s="20" t="str">
        <f>IF(A45=0,"",VLOOKUP(+VLOOKUP(A45,Tabla3[],'Registro de Operaciones'!$I$6,FALSE),Tipo_Recibo,2,FALSE))</f>
        <v/>
      </c>
      <c r="I45" s="19" t="str">
        <f>IF(A45=0,"",+VLOOKUP(A45,Tabla3[],'Registro de Operaciones'!$J$6,FALSE))</f>
        <v/>
      </c>
      <c r="J45" s="20" t="str">
        <f t="shared" si="4"/>
        <v/>
      </c>
      <c r="K45" s="19" t="str">
        <f>IF(A45=0,"",+VLOOKUP(A45,Tabla3[],'Registro de Operaciones'!$L$6,FALSE))</f>
        <v/>
      </c>
      <c r="L45" s="20" t="str">
        <f t="shared" si="5"/>
        <v/>
      </c>
      <c r="M45" s="88" t="str">
        <f>IF(A45=0,"",+VLOOKUP(A45,Tabla3[],'Registro de Operaciones'!$E$6,FALSE))</f>
        <v/>
      </c>
      <c r="N45" s="19" t="str">
        <f t="shared" si="6"/>
        <v/>
      </c>
      <c r="Q45">
        <f t="shared" si="3"/>
        <v>0</v>
      </c>
      <c r="R45" t="s">
        <v>311</v>
      </c>
      <c r="S45" t="s">
        <v>311</v>
      </c>
      <c r="T45" t="s">
        <v>311</v>
      </c>
      <c r="U45" t="s">
        <v>311</v>
      </c>
      <c r="V45" t="s">
        <v>311</v>
      </c>
      <c r="W45" t="s">
        <v>311</v>
      </c>
      <c r="X45" t="s">
        <v>311</v>
      </c>
      <c r="Y45" t="s">
        <v>311</v>
      </c>
      <c r="Z45" t="s">
        <v>311</v>
      </c>
      <c r="AA45" t="s">
        <v>311</v>
      </c>
      <c r="AB45" t="s">
        <v>311</v>
      </c>
      <c r="AC45" t="s">
        <v>311</v>
      </c>
      <c r="AD45" t="s">
        <v>311</v>
      </c>
    </row>
    <row r="46" spans="1:30" x14ac:dyDescent="0.25">
      <c r="A46" s="29">
        <f>+BD!AA47</f>
        <v>0</v>
      </c>
      <c r="B46" s="17" t="str">
        <f>IF(A46=0,"",VLOOKUP(+VLOOKUP(A46,Tabla3[],'Registro de Operaciones'!$F$6,FALSE),DOI_Tipo,2,FALSE))</f>
        <v/>
      </c>
      <c r="C46" s="19" t="str">
        <f>IF(A46=0,"",+VLOOKUP(A46,Tabla3[#All],'Registro de Operaciones'!$G$6,FALSE))</f>
        <v/>
      </c>
      <c r="D46" s="18" t="str">
        <f>IF(A46=0,"",VLOOKUP(+VLOOKUP(A46,Tabla3[],'Registro de Operaciones'!$N$6,FALSE),Tipo_Abono,2,FALSE))</f>
        <v/>
      </c>
      <c r="E46" s="19" t="str">
        <f>IF(A46=0,"",+VLOOKUP(A46,Tabla3[],'Registro de Operaciones'!$O$6,FALSE))</f>
        <v/>
      </c>
      <c r="F46" s="19" t="str">
        <f>IF(A46=0,"",+VLOOKUP(A46,Tabla3[],'Registro de Operaciones'!$H$6,FALSE))</f>
        <v/>
      </c>
      <c r="G46" s="32" t="str">
        <f>IF(A46=0,"",ROUND(+VLOOKUP(A46,Tabla3[],'Registro de Operaciones'!$X$6,FALSE),2))</f>
        <v/>
      </c>
      <c r="H46" s="20" t="str">
        <f>IF(A46=0,"",VLOOKUP(+VLOOKUP(A46,Tabla3[],'Registro de Operaciones'!$I$6,FALSE),Tipo_Recibo,2,FALSE))</f>
        <v/>
      </c>
      <c r="I46" s="19" t="str">
        <f>IF(A46=0,"",+VLOOKUP(A46,Tabla3[],'Registro de Operaciones'!$J$6,FALSE))</f>
        <v/>
      </c>
      <c r="J46" s="20" t="str">
        <f t="shared" si="4"/>
        <v/>
      </c>
      <c r="K46" s="19" t="str">
        <f>IF(A46=0,"",+VLOOKUP(A46,Tabla3[],'Registro de Operaciones'!$L$6,FALSE))</f>
        <v/>
      </c>
      <c r="L46" s="20" t="str">
        <f t="shared" si="5"/>
        <v/>
      </c>
      <c r="M46" s="88" t="str">
        <f>IF(A46=0,"",+VLOOKUP(A46,Tabla3[],'Registro de Operaciones'!$E$6,FALSE))</f>
        <v/>
      </c>
      <c r="N46" s="19" t="str">
        <f t="shared" si="6"/>
        <v/>
      </c>
      <c r="Q46">
        <f t="shared" si="3"/>
        <v>0</v>
      </c>
      <c r="R46" t="s">
        <v>311</v>
      </c>
      <c r="S46" t="s">
        <v>311</v>
      </c>
      <c r="T46" t="s">
        <v>311</v>
      </c>
      <c r="U46" t="s">
        <v>311</v>
      </c>
      <c r="V46" t="s">
        <v>311</v>
      </c>
      <c r="W46" t="s">
        <v>311</v>
      </c>
      <c r="X46" t="s">
        <v>311</v>
      </c>
      <c r="Y46" t="s">
        <v>311</v>
      </c>
      <c r="Z46" t="s">
        <v>311</v>
      </c>
      <c r="AA46" t="s">
        <v>311</v>
      </c>
      <c r="AB46" t="s">
        <v>311</v>
      </c>
      <c r="AC46" t="s">
        <v>311</v>
      </c>
      <c r="AD46" t="s">
        <v>311</v>
      </c>
    </row>
    <row r="47" spans="1:30" x14ac:dyDescent="0.25">
      <c r="A47" s="29">
        <f>+BD!AA48</f>
        <v>0</v>
      </c>
      <c r="B47" s="17" t="str">
        <f>IF(A47=0,"",VLOOKUP(+VLOOKUP(A47,Tabla3[],'Registro de Operaciones'!$F$6,FALSE),DOI_Tipo,2,FALSE))</f>
        <v/>
      </c>
      <c r="C47" s="19" t="str">
        <f>IF(A47=0,"",+VLOOKUP(A47,Tabla3[#All],'Registro de Operaciones'!$G$6,FALSE))</f>
        <v/>
      </c>
      <c r="D47" s="18" t="str">
        <f>IF(A47=0,"",VLOOKUP(+VLOOKUP(A47,Tabla3[],'Registro de Operaciones'!$N$6,FALSE),Tipo_Abono,2,FALSE))</f>
        <v/>
      </c>
      <c r="E47" s="19" t="str">
        <f>IF(A47=0,"",+VLOOKUP(A47,Tabla3[],'Registro de Operaciones'!$O$6,FALSE))</f>
        <v/>
      </c>
      <c r="F47" s="19" t="str">
        <f>IF(A47=0,"",+VLOOKUP(A47,Tabla3[],'Registro de Operaciones'!$H$6,FALSE))</f>
        <v/>
      </c>
      <c r="G47" s="32" t="str">
        <f>IF(A47=0,"",ROUND(+VLOOKUP(A47,Tabla3[],'Registro de Operaciones'!$X$6,FALSE),2))</f>
        <v/>
      </c>
      <c r="H47" s="20" t="str">
        <f>IF(A47=0,"",VLOOKUP(+VLOOKUP(A47,Tabla3[],'Registro de Operaciones'!$I$6,FALSE),Tipo_Recibo,2,FALSE))</f>
        <v/>
      </c>
      <c r="I47" s="19" t="str">
        <f>IF(A47=0,"",+VLOOKUP(A47,Tabla3[],'Registro de Operaciones'!$J$6,FALSE))</f>
        <v/>
      </c>
      <c r="J47" s="20" t="str">
        <f t="shared" si="4"/>
        <v/>
      </c>
      <c r="K47" s="19" t="str">
        <f>IF(A47=0,"",+VLOOKUP(A47,Tabla3[],'Registro de Operaciones'!$L$6,FALSE))</f>
        <v/>
      </c>
      <c r="L47" s="20" t="str">
        <f t="shared" si="5"/>
        <v/>
      </c>
      <c r="M47" s="88" t="str">
        <f>IF(A47=0,"",+VLOOKUP(A47,Tabla3[],'Registro de Operaciones'!$E$6,FALSE))</f>
        <v/>
      </c>
      <c r="N47" s="19" t="str">
        <f t="shared" si="6"/>
        <v/>
      </c>
      <c r="Q47">
        <f t="shared" si="3"/>
        <v>0</v>
      </c>
      <c r="R47" t="s">
        <v>311</v>
      </c>
      <c r="S47" t="s">
        <v>311</v>
      </c>
      <c r="T47" t="s">
        <v>311</v>
      </c>
      <c r="U47" t="s">
        <v>311</v>
      </c>
      <c r="V47" t="s">
        <v>311</v>
      </c>
      <c r="W47" t="s">
        <v>311</v>
      </c>
      <c r="X47" t="s">
        <v>311</v>
      </c>
      <c r="Y47" t="s">
        <v>311</v>
      </c>
      <c r="Z47" t="s">
        <v>311</v>
      </c>
      <c r="AA47" t="s">
        <v>311</v>
      </c>
      <c r="AB47" t="s">
        <v>311</v>
      </c>
      <c r="AC47" t="s">
        <v>311</v>
      </c>
      <c r="AD47" t="s">
        <v>311</v>
      </c>
    </row>
    <row r="48" spans="1:30" x14ac:dyDescent="0.25">
      <c r="A48" s="29">
        <f>+BD!AA49</f>
        <v>0</v>
      </c>
      <c r="B48" s="17" t="str">
        <f>IF(A48=0,"",VLOOKUP(+VLOOKUP(A48,Tabla3[],'Registro de Operaciones'!$F$6,FALSE),DOI_Tipo,2,FALSE))</f>
        <v/>
      </c>
      <c r="C48" s="19" t="str">
        <f>IF(A48=0,"",+VLOOKUP(A48,Tabla3[#All],'Registro de Operaciones'!$G$6,FALSE))</f>
        <v/>
      </c>
      <c r="D48" s="18" t="str">
        <f>IF(A48=0,"",VLOOKUP(+VLOOKUP(A48,Tabla3[],'Registro de Operaciones'!$N$6,FALSE),Tipo_Abono,2,FALSE))</f>
        <v/>
      </c>
      <c r="E48" s="19" t="str">
        <f>IF(A48=0,"",+VLOOKUP(A48,Tabla3[],'Registro de Operaciones'!$O$6,FALSE))</f>
        <v/>
      </c>
      <c r="F48" s="19" t="str">
        <f>IF(A48=0,"",+VLOOKUP(A48,Tabla3[],'Registro de Operaciones'!$H$6,FALSE))</f>
        <v/>
      </c>
      <c r="G48" s="32" t="str">
        <f>IF(A48=0,"",ROUND(+VLOOKUP(A48,Tabla3[],'Registro de Operaciones'!$X$6,FALSE),2))</f>
        <v/>
      </c>
      <c r="H48" s="20" t="str">
        <f>IF(A48=0,"",VLOOKUP(+VLOOKUP(A48,Tabla3[],'Registro de Operaciones'!$I$6,FALSE),Tipo_Recibo,2,FALSE))</f>
        <v/>
      </c>
      <c r="I48" s="19" t="str">
        <f>IF(A48=0,"",+VLOOKUP(A48,Tabla3[],'Registro de Operaciones'!$J$6,FALSE))</f>
        <v/>
      </c>
      <c r="J48" s="20" t="str">
        <f t="shared" si="4"/>
        <v/>
      </c>
      <c r="K48" s="19" t="str">
        <f>IF(A48=0,"",+VLOOKUP(A48,Tabla3[],'Registro de Operaciones'!$L$6,FALSE))</f>
        <v/>
      </c>
      <c r="L48" s="20" t="str">
        <f t="shared" si="5"/>
        <v/>
      </c>
      <c r="M48" s="88" t="str">
        <f>IF(A48=0,"",+VLOOKUP(A48,Tabla3[],'Registro de Operaciones'!$E$6,FALSE))</f>
        <v/>
      </c>
      <c r="N48" s="19" t="str">
        <f t="shared" si="6"/>
        <v/>
      </c>
      <c r="Q48">
        <f t="shared" si="3"/>
        <v>0</v>
      </c>
      <c r="R48" t="s">
        <v>311</v>
      </c>
      <c r="S48" t="s">
        <v>311</v>
      </c>
      <c r="T48" t="s">
        <v>311</v>
      </c>
      <c r="U48" t="s">
        <v>311</v>
      </c>
      <c r="V48" t="s">
        <v>311</v>
      </c>
      <c r="W48" t="s">
        <v>311</v>
      </c>
      <c r="X48" t="s">
        <v>311</v>
      </c>
      <c r="Y48" t="s">
        <v>311</v>
      </c>
      <c r="Z48" t="s">
        <v>311</v>
      </c>
      <c r="AA48" t="s">
        <v>311</v>
      </c>
      <c r="AB48" t="s">
        <v>311</v>
      </c>
      <c r="AC48" t="s">
        <v>311</v>
      </c>
      <c r="AD48" t="s">
        <v>311</v>
      </c>
    </row>
    <row r="49" spans="1:30" x14ac:dyDescent="0.25">
      <c r="A49" s="29">
        <f>+BD!AA50</f>
        <v>0</v>
      </c>
      <c r="B49" s="17" t="str">
        <f>IF(A49=0,"",VLOOKUP(+VLOOKUP(A49,Tabla3[],'Registro de Operaciones'!$F$6,FALSE),DOI_Tipo,2,FALSE))</f>
        <v/>
      </c>
      <c r="C49" s="19" t="str">
        <f>IF(A49=0,"",+VLOOKUP(A49,Tabla3[#All],'Registro de Operaciones'!$G$6,FALSE))</f>
        <v/>
      </c>
      <c r="D49" s="18" t="str">
        <f>IF(A49=0,"",VLOOKUP(+VLOOKUP(A49,Tabla3[],'Registro de Operaciones'!$N$6,FALSE),Tipo_Abono,2,FALSE))</f>
        <v/>
      </c>
      <c r="E49" s="19" t="str">
        <f>IF(A49=0,"",+VLOOKUP(A49,Tabla3[],'Registro de Operaciones'!$O$6,FALSE))</f>
        <v/>
      </c>
      <c r="F49" s="19" t="str">
        <f>IF(A49=0,"",+VLOOKUP(A49,Tabla3[],'Registro de Operaciones'!$H$6,FALSE))</f>
        <v/>
      </c>
      <c r="G49" s="32" t="str">
        <f>IF(A49=0,"",ROUND(+VLOOKUP(A49,Tabla3[],'Registro de Operaciones'!$X$6,FALSE),2))</f>
        <v/>
      </c>
      <c r="H49" s="20" t="str">
        <f>IF(A49=0,"",VLOOKUP(+VLOOKUP(A49,Tabla3[],'Registro de Operaciones'!$I$6,FALSE),Tipo_Recibo,2,FALSE))</f>
        <v/>
      </c>
      <c r="I49" s="19" t="str">
        <f>IF(A49=0,"",+VLOOKUP(A49,Tabla3[],'Registro de Operaciones'!$J$6,FALSE))</f>
        <v/>
      </c>
      <c r="J49" s="20" t="str">
        <f t="shared" si="4"/>
        <v/>
      </c>
      <c r="K49" s="19" t="str">
        <f>IF(A49=0,"",+VLOOKUP(A49,Tabla3[],'Registro de Operaciones'!$L$6,FALSE))</f>
        <v/>
      </c>
      <c r="L49" s="20" t="str">
        <f t="shared" si="5"/>
        <v/>
      </c>
      <c r="M49" s="88" t="str">
        <f>IF(A49=0,"",+VLOOKUP(A49,Tabla3[],'Registro de Operaciones'!$E$6,FALSE))</f>
        <v/>
      </c>
      <c r="N49" s="19" t="str">
        <f t="shared" si="6"/>
        <v/>
      </c>
      <c r="Q49">
        <f t="shared" si="3"/>
        <v>0</v>
      </c>
      <c r="R49" t="s">
        <v>311</v>
      </c>
      <c r="S49" t="s">
        <v>311</v>
      </c>
      <c r="T49" t="s">
        <v>311</v>
      </c>
      <c r="U49" t="s">
        <v>311</v>
      </c>
      <c r="V49" t="s">
        <v>311</v>
      </c>
      <c r="W49" t="s">
        <v>311</v>
      </c>
      <c r="X49" t="s">
        <v>311</v>
      </c>
      <c r="Y49" t="s">
        <v>311</v>
      </c>
      <c r="Z49" t="s">
        <v>311</v>
      </c>
      <c r="AA49" t="s">
        <v>311</v>
      </c>
      <c r="AB49" t="s">
        <v>311</v>
      </c>
      <c r="AC49" t="s">
        <v>311</v>
      </c>
      <c r="AD49" t="s">
        <v>311</v>
      </c>
    </row>
    <row r="50" spans="1:30" x14ac:dyDescent="0.25">
      <c r="A50" s="29">
        <f>+BD!AA51</f>
        <v>0</v>
      </c>
      <c r="B50" s="17" t="str">
        <f>IF(A50=0,"",VLOOKUP(+VLOOKUP(A50,Tabla3[],'Registro de Operaciones'!$F$6,FALSE),DOI_Tipo,2,FALSE))</f>
        <v/>
      </c>
      <c r="C50" s="19" t="str">
        <f>IF(A50=0,"",+VLOOKUP(A50,Tabla3[#All],'Registro de Operaciones'!$G$6,FALSE))</f>
        <v/>
      </c>
      <c r="D50" s="18" t="str">
        <f>IF(A50=0,"",VLOOKUP(+VLOOKUP(A50,Tabla3[],'Registro de Operaciones'!$N$6,FALSE),Tipo_Abono,2,FALSE))</f>
        <v/>
      </c>
      <c r="E50" s="19" t="str">
        <f>IF(A50=0,"",+VLOOKUP(A50,Tabla3[],'Registro de Operaciones'!$O$6,FALSE))</f>
        <v/>
      </c>
      <c r="F50" s="19" t="str">
        <f>IF(A50=0,"",+VLOOKUP(A50,Tabla3[],'Registro de Operaciones'!$H$6,FALSE))</f>
        <v/>
      </c>
      <c r="G50" s="32" t="str">
        <f>IF(A50=0,"",ROUND(+VLOOKUP(A50,Tabla3[],'Registro de Operaciones'!$X$6,FALSE),2))</f>
        <v/>
      </c>
      <c r="H50" s="20" t="str">
        <f>IF(A50=0,"",VLOOKUP(+VLOOKUP(A50,Tabla3[],'Registro de Operaciones'!$I$6,FALSE),Tipo_Recibo,2,FALSE))</f>
        <v/>
      </c>
      <c r="I50" s="19" t="str">
        <f>IF(A50=0,"",+VLOOKUP(A50,Tabla3[],'Registro de Operaciones'!$J$6,FALSE))</f>
        <v/>
      </c>
      <c r="J50" s="20" t="str">
        <f t="shared" si="4"/>
        <v/>
      </c>
      <c r="K50" s="19" t="str">
        <f>IF(A50=0,"",+VLOOKUP(A50,Tabla3[],'Registro de Operaciones'!$L$6,FALSE))</f>
        <v/>
      </c>
      <c r="L50" s="20" t="str">
        <f t="shared" si="5"/>
        <v/>
      </c>
      <c r="M50" s="88" t="str">
        <f>IF(A50=0,"",+VLOOKUP(A50,Tabla3[],'Registro de Operaciones'!$E$6,FALSE))</f>
        <v/>
      </c>
      <c r="N50" s="19" t="str">
        <f t="shared" si="6"/>
        <v/>
      </c>
      <c r="Q50">
        <f t="shared" si="3"/>
        <v>0</v>
      </c>
      <c r="R50" t="s">
        <v>311</v>
      </c>
      <c r="S50" t="s">
        <v>311</v>
      </c>
      <c r="T50" t="s">
        <v>311</v>
      </c>
      <c r="U50" t="s">
        <v>311</v>
      </c>
      <c r="V50" t="s">
        <v>311</v>
      </c>
      <c r="W50" t="s">
        <v>311</v>
      </c>
      <c r="X50" t="s">
        <v>311</v>
      </c>
      <c r="Y50" t="s">
        <v>311</v>
      </c>
      <c r="Z50" t="s">
        <v>311</v>
      </c>
      <c r="AA50" t="s">
        <v>311</v>
      </c>
      <c r="AB50" t="s">
        <v>311</v>
      </c>
      <c r="AC50" t="s">
        <v>311</v>
      </c>
      <c r="AD50" t="s">
        <v>311</v>
      </c>
    </row>
    <row r="51" spans="1:30" x14ac:dyDescent="0.25">
      <c r="A51" s="29">
        <f>+BD!AA52</f>
        <v>0</v>
      </c>
      <c r="B51" s="17" t="str">
        <f>IF(A51=0,"",VLOOKUP(+VLOOKUP(A51,Tabla3[],'Registro de Operaciones'!$F$6,FALSE),DOI_Tipo,2,FALSE))</f>
        <v/>
      </c>
      <c r="C51" s="19" t="str">
        <f>IF(A51=0,"",+VLOOKUP(A51,Tabla3[#All],'Registro de Operaciones'!$G$6,FALSE))</f>
        <v/>
      </c>
      <c r="D51" s="18" t="str">
        <f>IF(A51=0,"",VLOOKUP(+VLOOKUP(A51,Tabla3[],'Registro de Operaciones'!$N$6,FALSE),Tipo_Abono,2,FALSE))</f>
        <v/>
      </c>
      <c r="E51" s="19" t="str">
        <f>IF(A51=0,"",+VLOOKUP(A51,Tabla3[],'Registro de Operaciones'!$O$6,FALSE))</f>
        <v/>
      </c>
      <c r="F51" s="19" t="str">
        <f>IF(A51=0,"",+VLOOKUP(A51,Tabla3[],'Registro de Operaciones'!$H$6,FALSE))</f>
        <v/>
      </c>
      <c r="G51" s="32" t="str">
        <f>IF(A51=0,"",ROUND(+VLOOKUP(A51,Tabla3[],'Registro de Operaciones'!$X$6,FALSE),2))</f>
        <v/>
      </c>
      <c r="H51" s="20" t="str">
        <f>IF(A51=0,"",VLOOKUP(+VLOOKUP(A51,Tabla3[],'Registro de Operaciones'!$I$6,FALSE),Tipo_Recibo,2,FALSE))</f>
        <v/>
      </c>
      <c r="I51" s="19" t="str">
        <f>IF(A51=0,"",+VLOOKUP(A51,Tabla3[],'Registro de Operaciones'!$J$6,FALSE))</f>
        <v/>
      </c>
      <c r="J51" s="20" t="str">
        <f t="shared" si="4"/>
        <v/>
      </c>
      <c r="K51" s="19" t="str">
        <f>IF(A51=0,"",+VLOOKUP(A51,Tabla3[],'Registro de Operaciones'!$L$6,FALSE))</f>
        <v/>
      </c>
      <c r="L51" s="20" t="str">
        <f t="shared" si="5"/>
        <v/>
      </c>
      <c r="M51" s="88" t="str">
        <f>IF(A51=0,"",+VLOOKUP(A51,Tabla3[],'Registro de Operaciones'!$E$6,FALSE))</f>
        <v/>
      </c>
      <c r="N51" s="19" t="str">
        <f t="shared" si="6"/>
        <v/>
      </c>
      <c r="Q51">
        <f t="shared" si="3"/>
        <v>0</v>
      </c>
      <c r="R51" t="s">
        <v>311</v>
      </c>
      <c r="S51" t="s">
        <v>311</v>
      </c>
      <c r="T51" t="s">
        <v>311</v>
      </c>
      <c r="U51" t="s">
        <v>311</v>
      </c>
      <c r="V51" t="s">
        <v>311</v>
      </c>
      <c r="W51" t="s">
        <v>311</v>
      </c>
      <c r="X51" t="s">
        <v>311</v>
      </c>
      <c r="Y51" t="s">
        <v>311</v>
      </c>
      <c r="Z51" t="s">
        <v>311</v>
      </c>
      <c r="AA51" t="s">
        <v>311</v>
      </c>
      <c r="AB51" t="s">
        <v>311</v>
      </c>
      <c r="AC51" t="s">
        <v>311</v>
      </c>
      <c r="AD51" t="s">
        <v>311</v>
      </c>
    </row>
    <row r="52" spans="1:30" x14ac:dyDescent="0.25">
      <c r="A52" s="29">
        <f>+BD!AA53</f>
        <v>0</v>
      </c>
      <c r="B52" s="17" t="str">
        <f>IF(A52=0,"",VLOOKUP(+VLOOKUP(A52,Tabla3[],'Registro de Operaciones'!$F$6,FALSE),DOI_Tipo,2,FALSE))</f>
        <v/>
      </c>
      <c r="C52" s="19" t="str">
        <f>IF(A52=0,"",+VLOOKUP(A52,Tabla3[#All],'Registro de Operaciones'!$G$6,FALSE))</f>
        <v/>
      </c>
      <c r="D52" s="18" t="str">
        <f>IF(A52=0,"",VLOOKUP(+VLOOKUP(A52,Tabla3[],'Registro de Operaciones'!$N$6,FALSE),Tipo_Abono,2,FALSE))</f>
        <v/>
      </c>
      <c r="E52" s="19" t="str">
        <f>IF(A52=0,"",+VLOOKUP(A52,Tabla3[],'Registro de Operaciones'!$O$6,FALSE))</f>
        <v/>
      </c>
      <c r="F52" s="19" t="str">
        <f>IF(A52=0,"",+VLOOKUP(A52,Tabla3[],'Registro de Operaciones'!$H$6,FALSE))</f>
        <v/>
      </c>
      <c r="G52" s="32" t="str">
        <f>IF(A52=0,"",ROUND(+VLOOKUP(A52,Tabla3[],'Registro de Operaciones'!$X$6,FALSE),2))</f>
        <v/>
      </c>
      <c r="H52" s="20" t="str">
        <f>IF(A52=0,"",VLOOKUP(+VLOOKUP(A52,Tabla3[],'Registro de Operaciones'!$I$6,FALSE),Tipo_Recibo,2,FALSE))</f>
        <v/>
      </c>
      <c r="I52" s="19" t="str">
        <f>IF(A52=0,"",+VLOOKUP(A52,Tabla3[],'Registro de Operaciones'!$J$6,FALSE))</f>
        <v/>
      </c>
      <c r="J52" s="20" t="str">
        <f t="shared" si="4"/>
        <v/>
      </c>
      <c r="K52" s="19" t="str">
        <f>IF(A52=0,"",+VLOOKUP(A52,Tabla3[],'Registro de Operaciones'!$L$6,FALSE))</f>
        <v/>
      </c>
      <c r="L52" s="20" t="str">
        <f t="shared" si="5"/>
        <v/>
      </c>
      <c r="M52" s="88" t="str">
        <f>IF(A52=0,"",+VLOOKUP(A52,Tabla3[],'Registro de Operaciones'!$E$6,FALSE))</f>
        <v/>
      </c>
      <c r="N52" s="19" t="str">
        <f t="shared" si="6"/>
        <v/>
      </c>
      <c r="Q52">
        <f t="shared" si="3"/>
        <v>0</v>
      </c>
      <c r="R52" t="s">
        <v>311</v>
      </c>
      <c r="S52" t="s">
        <v>311</v>
      </c>
      <c r="T52" t="s">
        <v>311</v>
      </c>
      <c r="U52" t="s">
        <v>311</v>
      </c>
      <c r="V52" t="s">
        <v>311</v>
      </c>
      <c r="W52" t="s">
        <v>311</v>
      </c>
      <c r="X52" t="s">
        <v>311</v>
      </c>
      <c r="Y52" t="s">
        <v>311</v>
      </c>
      <c r="Z52" t="s">
        <v>311</v>
      </c>
      <c r="AA52" t="s">
        <v>311</v>
      </c>
      <c r="AB52" t="s">
        <v>311</v>
      </c>
      <c r="AC52" t="s">
        <v>311</v>
      </c>
      <c r="AD52" t="s">
        <v>311</v>
      </c>
    </row>
    <row r="53" spans="1:30" x14ac:dyDescent="0.25">
      <c r="A53" s="29">
        <f>+BD!AA54</f>
        <v>0</v>
      </c>
      <c r="B53" s="17" t="str">
        <f>IF(A53=0,"",VLOOKUP(+VLOOKUP(A53,Tabla3[],'Registro de Operaciones'!$F$6,FALSE),DOI_Tipo,2,FALSE))</f>
        <v/>
      </c>
      <c r="C53" s="19" t="str">
        <f>IF(A53=0,"",+VLOOKUP(A53,Tabla3[#All],'Registro de Operaciones'!$G$6,FALSE))</f>
        <v/>
      </c>
      <c r="D53" s="18" t="str">
        <f>IF(A53=0,"",VLOOKUP(+VLOOKUP(A53,Tabla3[],'Registro de Operaciones'!$N$6,FALSE),Tipo_Abono,2,FALSE))</f>
        <v/>
      </c>
      <c r="E53" s="19" t="str">
        <f>IF(A53=0,"",+VLOOKUP(A53,Tabla3[],'Registro de Operaciones'!$O$6,FALSE))</f>
        <v/>
      </c>
      <c r="F53" s="19" t="str">
        <f>IF(A53=0,"",+VLOOKUP(A53,Tabla3[],'Registro de Operaciones'!$H$6,FALSE))</f>
        <v/>
      </c>
      <c r="G53" s="32" t="str">
        <f>IF(A53=0,"",ROUND(+VLOOKUP(A53,Tabla3[],'Registro de Operaciones'!$X$6,FALSE),2))</f>
        <v/>
      </c>
      <c r="H53" s="20" t="str">
        <f>IF(A53=0,"",VLOOKUP(+VLOOKUP(A53,Tabla3[],'Registro de Operaciones'!$I$6,FALSE),Tipo_Recibo,2,FALSE))</f>
        <v/>
      </c>
      <c r="I53" s="19" t="str">
        <f>IF(A53=0,"",+VLOOKUP(A53,Tabla3[],'Registro de Operaciones'!$J$6,FALSE))</f>
        <v/>
      </c>
      <c r="J53" s="20" t="str">
        <f t="shared" si="4"/>
        <v/>
      </c>
      <c r="K53" s="19" t="str">
        <f>IF(A53=0,"",+VLOOKUP(A53,Tabla3[],'Registro de Operaciones'!$L$6,FALSE))</f>
        <v/>
      </c>
      <c r="L53" s="20" t="str">
        <f t="shared" si="5"/>
        <v/>
      </c>
      <c r="M53" s="88" t="str">
        <f>IF(A53=0,"",+VLOOKUP(A53,Tabla3[],'Registro de Operaciones'!$E$6,FALSE))</f>
        <v/>
      </c>
      <c r="N53" s="19" t="str">
        <f t="shared" si="6"/>
        <v/>
      </c>
      <c r="Q53">
        <f t="shared" si="3"/>
        <v>0</v>
      </c>
      <c r="R53" t="s">
        <v>311</v>
      </c>
      <c r="S53" t="s">
        <v>311</v>
      </c>
      <c r="T53" t="s">
        <v>311</v>
      </c>
      <c r="U53" t="s">
        <v>311</v>
      </c>
      <c r="V53" t="s">
        <v>311</v>
      </c>
      <c r="W53" t="s">
        <v>311</v>
      </c>
      <c r="X53" t="s">
        <v>311</v>
      </c>
      <c r="Y53" t="s">
        <v>311</v>
      </c>
      <c r="Z53" t="s">
        <v>311</v>
      </c>
      <c r="AA53" t="s">
        <v>311</v>
      </c>
      <c r="AB53" t="s">
        <v>311</v>
      </c>
      <c r="AC53" t="s">
        <v>311</v>
      </c>
      <c r="AD53" t="s">
        <v>311</v>
      </c>
    </row>
  </sheetData>
  <hyperlinks>
    <hyperlink ref="M4" r:id="rId1" display="recepciondefacturas@uma.edu.pe" xr:uid="{749FE6F9-C431-4FF6-9CF4-9961F2A4C6EF}"/>
    <hyperlink ref="M5:M53" r:id="rId2" display="recepciondefacturas@uma.edu.pe" xr:uid="{4863D7B5-07FD-495D-80C1-13D290A33D63}"/>
  </hyperlinks>
  <pageMargins left="0.7" right="0.7" top="0.75" bottom="0.75" header="0.3" footer="0.3"/>
  <pageSetup orientation="portrait" r:id="rId3"/>
  <ignoredErrors>
    <ignoredError sqref="D5:F6 D4:F4 I4:L4 I5:L6 H4:H6 N4 N5:N6" unlockedFormula="1"/>
  </ignoredErrors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F917-E18A-460D-9AAD-D720030BFDC9}">
  <sheetPr codeName="Hoja4">
    <tabColor rgb="FF00B050"/>
  </sheetPr>
  <dimension ref="A1:AE53"/>
  <sheetViews>
    <sheetView showGridLines="0" topLeftCell="M1" zoomScale="80" zoomScaleNormal="80" workbookViewId="0">
      <selection activeCell="R4" sqref="R4:AD39"/>
    </sheetView>
  </sheetViews>
  <sheetFormatPr baseColWidth="10" defaultColWidth="11.5703125" defaultRowHeight="15" x14ac:dyDescent="0.25"/>
  <cols>
    <col min="1" max="1" width="5.85546875" style="29" bestFit="1" customWidth="1"/>
    <col min="2" max="2" width="8.28515625" bestFit="1" customWidth="1"/>
    <col min="3" max="3" width="13" bestFit="1" customWidth="1"/>
    <col min="4" max="4" width="11.140625" bestFit="1" customWidth="1"/>
    <col min="5" max="5" width="23.5703125" bestFit="1" customWidth="1"/>
    <col min="6" max="6" width="37.28515625" bestFit="1" customWidth="1"/>
    <col min="7" max="7" width="16.140625" style="16" bestFit="1" customWidth="1"/>
    <col min="8" max="8" width="11.28515625" bestFit="1" customWidth="1"/>
    <col min="9" max="9" width="13.28515625" bestFit="1" customWidth="1"/>
    <col min="10" max="10" width="15.5703125" bestFit="1" customWidth="1"/>
    <col min="11" max="11" width="73.42578125" bestFit="1" customWidth="1"/>
    <col min="12" max="12" width="14.5703125" bestFit="1" customWidth="1"/>
    <col min="13" max="13" width="32.140625" bestFit="1" customWidth="1"/>
    <col min="14" max="14" width="16.7109375" bestFit="1" customWidth="1"/>
    <col min="17" max="17" width="11.42578125"/>
    <col min="18" max="18" width="9.5703125" bestFit="1" customWidth="1"/>
    <col min="19" max="19" width="13" bestFit="1" customWidth="1"/>
    <col min="20" max="20" width="12.28515625" bestFit="1" customWidth="1"/>
    <col min="21" max="21" width="23" bestFit="1" customWidth="1"/>
    <col min="22" max="22" width="39.5703125" bestFit="1" customWidth="1"/>
    <col min="23" max="23" width="16.42578125" bestFit="1" customWidth="1"/>
    <col min="24" max="24" width="12.7109375" bestFit="1" customWidth="1"/>
    <col min="25" max="25" width="15" bestFit="1" customWidth="1"/>
    <col min="26" max="26" width="17.42578125" bestFit="1" customWidth="1"/>
    <col min="27" max="27" width="79.28515625" bestFit="1" customWidth="1"/>
    <col min="28" max="28" width="16.28515625" bestFit="1" customWidth="1"/>
    <col min="29" max="29" width="35.28515625" bestFit="1" customWidth="1"/>
    <col min="30" max="30" width="18.140625" bestFit="1" customWidth="1"/>
    <col min="31" max="31" width="16.7109375" bestFit="1" customWidth="1"/>
  </cols>
  <sheetData>
    <row r="1" spans="1:31" ht="26.25" x14ac:dyDescent="0.4">
      <c r="A1" s="80" t="s">
        <v>27</v>
      </c>
      <c r="B1" s="80"/>
      <c r="C1" s="80"/>
    </row>
    <row r="2" spans="1:31" ht="15.75" thickBot="1" x14ac:dyDescent="0.3"/>
    <row r="3" spans="1:31" x14ac:dyDescent="0.25">
      <c r="A3" s="77" t="s">
        <v>240</v>
      </c>
      <c r="B3" s="78" t="s">
        <v>241</v>
      </c>
      <c r="C3" s="78" t="s">
        <v>242</v>
      </c>
      <c r="D3" s="78" t="s">
        <v>243</v>
      </c>
      <c r="E3" s="78" t="s">
        <v>244</v>
      </c>
      <c r="F3" s="78" t="s">
        <v>245</v>
      </c>
      <c r="G3" s="79" t="s">
        <v>246</v>
      </c>
      <c r="H3" s="78" t="s">
        <v>247</v>
      </c>
      <c r="I3" s="78" t="s">
        <v>248</v>
      </c>
      <c r="J3" s="78" t="s">
        <v>249</v>
      </c>
      <c r="K3" s="78" t="s">
        <v>250</v>
      </c>
      <c r="L3" s="78" t="s">
        <v>251</v>
      </c>
      <c r="M3" s="78" t="s">
        <v>252</v>
      </c>
      <c r="N3" s="78" t="s">
        <v>253</v>
      </c>
      <c r="R3" s="82" t="s">
        <v>241</v>
      </c>
      <c r="S3" s="82" t="s">
        <v>242</v>
      </c>
      <c r="T3" s="82" t="s">
        <v>243</v>
      </c>
      <c r="U3" s="82" t="s">
        <v>244</v>
      </c>
      <c r="V3" s="82" t="s">
        <v>245</v>
      </c>
      <c r="W3" s="82" t="s">
        <v>246</v>
      </c>
      <c r="X3" s="82" t="s">
        <v>247</v>
      </c>
      <c r="Y3" s="82" t="s">
        <v>248</v>
      </c>
      <c r="Z3" s="82" t="s">
        <v>249</v>
      </c>
      <c r="AA3" s="82" t="s">
        <v>250</v>
      </c>
      <c r="AB3" s="82" t="s">
        <v>251</v>
      </c>
      <c r="AC3" s="82" t="s">
        <v>252</v>
      </c>
      <c r="AD3" s="82" t="s">
        <v>253</v>
      </c>
    </row>
    <row r="4" spans="1:31" x14ac:dyDescent="0.25">
      <c r="A4" s="29">
        <f>+BD!AE5</f>
        <v>2</v>
      </c>
      <c r="B4" s="17" t="str">
        <f>IF(A4=0,"",VLOOKUP(+VLOOKUP(A4,Tabla3[],'Registro de Operaciones'!$F$6,FALSE),DOI_Tipo,2,FALSE))</f>
        <v>R</v>
      </c>
      <c r="C4" s="19" t="str">
        <f>IF(A4=0,"",+VLOOKUP(A4,Tabla3[#All],'Registro de Operaciones'!$G$6,FALSE))</f>
        <v>20610253807</v>
      </c>
      <c r="D4" s="18" t="str">
        <f>IF(A4=0,"",VLOOKUP(+VLOOKUP(A4,Tabla3[],'Registro de Operaciones'!$N$6,FALSE),Tipo_Abono,2,FALSE))</f>
        <v>I</v>
      </c>
      <c r="E4" s="19" t="str">
        <f>IF(A4=0,"",+VLOOKUP(A4,Tabla3[],'Registro de Operaciones'!$O$6,FALSE))</f>
        <v>00219300713694516113</v>
      </c>
      <c r="F4" s="19" t="str">
        <f>IF(A4=0,"",+VLOOKUP(A4,Tabla3[],'Registro de Operaciones'!$H$6,FALSE))</f>
        <v>CLYDE PUBLICIDAD S.A.C.</v>
      </c>
      <c r="G4" s="32">
        <f>IF(A4=0,"",ROUND(+VLOOKUP(A4,Tabla3[],'Registro de Operaciones'!$U$6,FALSE),2))</f>
        <v>1652</v>
      </c>
      <c r="H4" s="20" t="str">
        <f>IF(A4=0,"",VLOOKUP(+VLOOKUP(A4,Tabla3[],'Registro de Operaciones'!$I$6,FALSE),Tipo_Recibo,2,FALSE))</f>
        <v>F</v>
      </c>
      <c r="I4" s="19" t="str">
        <f>IF(A4=0,"",+VLOOKUP(A4,Tabla3[],'Registro de Operaciones'!$J$6,FALSE))</f>
        <v>E001-16</v>
      </c>
      <c r="J4" s="20" t="str">
        <f>+IF(A4&gt;0,"N","")</f>
        <v>N</v>
      </c>
      <c r="K4" s="19" t="str">
        <f>IF(A4=0,"",+VLOOKUP(A4,Tabla3[],'Registro de Operaciones'!$L$6,FALSE))</f>
        <v>ALQUILER E IMPRESIÓN PARA NUEVO PANEL PUBLICITARIO - MAYO</v>
      </c>
      <c r="L4" s="20" t="str">
        <f>+IF(A4&gt;0,"E","")</f>
        <v>E</v>
      </c>
      <c r="M4" s="30" t="str">
        <f>IF(A4=0,"",+VLOOKUP(A4,Tabla3[],'Registro de Operaciones'!$E$6,FALSE))</f>
        <v>RAFAEL.LANDAURO@UMA.EDU.PE</v>
      </c>
      <c r="N4" s="19" t="str">
        <f>+IF(A4&gt;0,"Nayrut Flores","")</f>
        <v>Nayrut Flores</v>
      </c>
      <c r="Q4">
        <f>+LEN(U4)</f>
        <v>20</v>
      </c>
      <c r="R4" t="s">
        <v>254</v>
      </c>
      <c r="S4" t="s">
        <v>26</v>
      </c>
      <c r="T4" t="s">
        <v>262</v>
      </c>
      <c r="U4" t="s">
        <v>314</v>
      </c>
      <c r="V4" t="s">
        <v>315</v>
      </c>
      <c r="W4">
        <v>1652</v>
      </c>
      <c r="X4" t="s">
        <v>258</v>
      </c>
      <c r="Y4" t="s">
        <v>25</v>
      </c>
      <c r="Z4" t="s">
        <v>259</v>
      </c>
      <c r="AA4" t="s">
        <v>28</v>
      </c>
      <c r="AB4" t="s">
        <v>260</v>
      </c>
      <c r="AC4" t="s">
        <v>1090</v>
      </c>
      <c r="AD4" t="s">
        <v>261</v>
      </c>
    </row>
    <row r="5" spans="1:31" x14ac:dyDescent="0.25">
      <c r="A5" s="29">
        <f>+BD!AE6</f>
        <v>26</v>
      </c>
      <c r="B5" s="17" t="str">
        <f>IF(A5=0,"",VLOOKUP(+VLOOKUP(A5,Tabla3[],'Registro de Operaciones'!$F$6,FALSE),DOI_Tipo,2,FALSE))</f>
        <v>R</v>
      </c>
      <c r="C5" s="19" t="str">
        <f>IF(A5=0,"",+VLOOKUP(A5,Tabla3[#All],'Registro de Operaciones'!$G$6,FALSE))</f>
        <v>20610253807</v>
      </c>
      <c r="D5" s="18" t="str">
        <f>IF(A5=0,"",VLOOKUP(+VLOOKUP(A5,Tabla3[],'Registro de Operaciones'!$N$6,FALSE),Tipo_Abono,2,FALSE))</f>
        <v>I</v>
      </c>
      <c r="E5" s="19" t="str">
        <f>IF(A5=0,"",+VLOOKUP(A5,Tabla3[],'Registro de Operaciones'!$O$6,FALSE))</f>
        <v>00219300713694516113</v>
      </c>
      <c r="F5" s="19" t="str">
        <f>IF(A5=0,"",+VLOOKUP(A5,Tabla3[],'Registro de Operaciones'!$H$6,FALSE))</f>
        <v>CLYDE PUBLICIDAD S.A.C.</v>
      </c>
      <c r="G5" s="32">
        <f>IF(A5=0,"",ROUND(+VLOOKUP(A5,Tabla3[],'Registro de Operaciones'!$U$6,FALSE),2))</f>
        <v>1454</v>
      </c>
      <c r="H5" s="20" t="str">
        <f>IF(A5=0,"",VLOOKUP(+VLOOKUP(A5,Tabla3[],'Registro de Operaciones'!$I$6,FALSE),Tipo_Recibo,2,FALSE))</f>
        <v>F</v>
      </c>
      <c r="I5" s="19" t="str">
        <f>IF(A5=0,"",+VLOOKUP(A5,Tabla3[],'Registro de Operaciones'!$J$6,FALSE))</f>
        <v>E001-19</v>
      </c>
      <c r="J5" s="20" t="str">
        <f t="shared" ref="J5:J6" si="0">+IF(A5&gt;0,"N","")</f>
        <v>N</v>
      </c>
      <c r="K5" s="19" t="str">
        <f>IF(A5=0,"",+VLOOKUP(A5,Tabla3[],'Registro de Operaciones'!$L$6,FALSE))</f>
        <v>ALQUILER E IMPRESIÓN PARA NUEVO PANEL PUBLICITARIO</v>
      </c>
      <c r="L5" s="20" t="str">
        <f t="shared" ref="L5:L6" si="1">+IF(A5&gt;0,"E","")</f>
        <v>E</v>
      </c>
      <c r="M5" s="30" t="str">
        <f>IF(A5=0,"",+VLOOKUP(A5,Tabla3[],'Registro de Operaciones'!$E$6,FALSE))</f>
        <v>RAFAEL.LANDAURO@UMA.EDU.PE</v>
      </c>
      <c r="N5" s="19" t="str">
        <f t="shared" ref="N5:N6" si="2">+IF(A5&gt;0,"Nayrut Flores","")</f>
        <v>Nayrut Flores</v>
      </c>
      <c r="Q5">
        <f t="shared" ref="Q5:Q53" si="3">+LEN(U5)</f>
        <v>20</v>
      </c>
      <c r="R5" t="s">
        <v>254</v>
      </c>
      <c r="S5" t="s">
        <v>26</v>
      </c>
      <c r="T5" t="s">
        <v>262</v>
      </c>
      <c r="U5" t="s">
        <v>314</v>
      </c>
      <c r="V5" t="s">
        <v>315</v>
      </c>
      <c r="W5">
        <v>1454</v>
      </c>
      <c r="X5" t="s">
        <v>258</v>
      </c>
      <c r="Y5" t="s">
        <v>112</v>
      </c>
      <c r="Z5" t="s">
        <v>259</v>
      </c>
      <c r="AA5" t="s">
        <v>113</v>
      </c>
      <c r="AB5" t="s">
        <v>260</v>
      </c>
      <c r="AC5" t="s">
        <v>1090</v>
      </c>
      <c r="AD5" t="s">
        <v>261</v>
      </c>
    </row>
    <row r="6" spans="1:31" x14ac:dyDescent="0.25">
      <c r="A6" s="29">
        <f>+BD!AE7</f>
        <v>34</v>
      </c>
      <c r="B6" s="17" t="str">
        <f>IF(A6=0,"",VLOOKUP(+VLOOKUP(A6,Tabla3[],'Registro de Operaciones'!$F$6,FALSE),DOI_Tipo,2,FALSE))</f>
        <v>R</v>
      </c>
      <c r="C6" s="19" t="str">
        <f>IF(A6=0,"",+VLOOKUP(A6,Tabla3[#All],'Registro de Operaciones'!$G$6,FALSE))</f>
        <v>20335020872</v>
      </c>
      <c r="D6" s="18" t="str">
        <f>IF(A6=0,"",VLOOKUP(+VLOOKUP(A6,Tabla3[],'Registro de Operaciones'!$N$6,FALSE),Tipo_Abono,2,FALSE))</f>
        <v>I</v>
      </c>
      <c r="E6" s="19" t="str">
        <f>IF(A6=0,"",+VLOOKUP(A6,Tabla3[],'Registro de Operaciones'!$O$6,FALSE))</f>
        <v>00219300119689111611</v>
      </c>
      <c r="F6" s="19" t="str">
        <f>IF(A6=0,"",+VLOOKUP(A6,Tabla3[],'Registro de Operaciones'!$H$6,FALSE))</f>
        <v>HEWLETT - PACKARD PERU S.R.L.</v>
      </c>
      <c r="G6" s="32">
        <f>IF(A6=0,"",ROUND(+VLOOKUP(A6,Tabla3[],'Registro de Operaciones'!$U$6,FALSE),2))</f>
        <v>1411.14</v>
      </c>
      <c r="H6" s="20" t="str">
        <f>IF(A6=0,"",VLOOKUP(+VLOOKUP(A6,Tabla3[],'Registro de Operaciones'!$I$6,FALSE),Tipo_Recibo,2,FALSE))</f>
        <v>F</v>
      </c>
      <c r="I6" s="19" t="str">
        <f>IF(A6=0,"",+VLOOKUP(A6,Tabla3[],'Registro de Operaciones'!$J$6,FALSE))</f>
        <v>F001-00746250</v>
      </c>
      <c r="J6" s="20" t="str">
        <f t="shared" si="0"/>
        <v>N</v>
      </c>
      <c r="K6" s="19" t="str">
        <f>IF(A6=0,"",+VLOOKUP(A6,Tabla3[],'Registro de Operaciones'!$L$6,FALSE))</f>
        <v>CONTRATO N 3 DE ARRENDAMIENTO - CUOTA 23-24</v>
      </c>
      <c r="L6" s="20" t="str">
        <f t="shared" si="1"/>
        <v>E</v>
      </c>
      <c r="M6" s="30" t="str">
        <f>IF(A6=0,"",+VLOOKUP(A6,Tabla3[],'Registro de Operaciones'!$E$6,FALSE))</f>
        <v>RAFAEL.LANDAURO@UMA.EDU.PE</v>
      </c>
      <c r="N6" s="19" t="str">
        <f t="shared" si="2"/>
        <v>Nayrut Flores</v>
      </c>
      <c r="Q6">
        <f t="shared" si="3"/>
        <v>20</v>
      </c>
      <c r="R6" t="s">
        <v>254</v>
      </c>
      <c r="S6" t="s">
        <v>140</v>
      </c>
      <c r="T6" t="s">
        <v>262</v>
      </c>
      <c r="U6" t="s">
        <v>316</v>
      </c>
      <c r="V6" t="s">
        <v>317</v>
      </c>
      <c r="W6">
        <v>1411.14</v>
      </c>
      <c r="X6" t="s">
        <v>258</v>
      </c>
      <c r="Y6" t="s">
        <v>139</v>
      </c>
      <c r="Z6" t="s">
        <v>259</v>
      </c>
      <c r="AA6" t="s">
        <v>141</v>
      </c>
      <c r="AB6" t="s">
        <v>260</v>
      </c>
      <c r="AC6" t="s">
        <v>1090</v>
      </c>
      <c r="AD6" t="s">
        <v>261</v>
      </c>
    </row>
    <row r="7" spans="1:31" x14ac:dyDescent="0.25">
      <c r="A7" s="29">
        <f>+BD!AE8</f>
        <v>38</v>
      </c>
      <c r="B7" s="17" t="str">
        <f>IF(A7=0,"",VLOOKUP(+VLOOKUP(A7,Tabla3[],'Registro de Operaciones'!$F$6,FALSE),DOI_Tipo,2,FALSE))</f>
        <v>L</v>
      </c>
      <c r="C7" s="19" t="str">
        <f>IF(A7=0,"",+VLOOKUP(A7,Tabla3[#All],'Registro de Operaciones'!$G$6,FALSE))</f>
        <v>06294409</v>
      </c>
      <c r="D7" s="18" t="str">
        <f>IF(A7=0,"",VLOOKUP(+VLOOKUP(A7,Tabla3[],'Registro de Operaciones'!$N$6,FALSE),Tipo_Abono,2,FALSE))</f>
        <v>P</v>
      </c>
      <c r="E7" s="19" t="str">
        <f>IF(A7=0,"",+VLOOKUP(A7,Tabla3[],'Registro de Operaciones'!$O$6,FALSE))</f>
        <v>00110872000200007559</v>
      </c>
      <c r="F7" s="19" t="str">
        <f>IF(A7=0,"",+VLOOKUP(A7,Tabla3[],'Registro de Operaciones'!$H$6,FALSE))</f>
        <v>MORAN PAREDES GLADYS IVONNE</v>
      </c>
      <c r="G7" s="32">
        <f>IF(A7=0,"",ROUND(+VLOOKUP(A7,Tabla3[],'Registro de Operaciones'!$U$6,FALSE),2))</f>
        <v>9900</v>
      </c>
      <c r="H7" s="20" t="str">
        <f>IF(A7=0,"",VLOOKUP(+VLOOKUP(A7,Tabla3[],'Registro de Operaciones'!$I$6,FALSE),Tipo_Recibo,2,FALSE))</f>
        <v>B</v>
      </c>
      <c r="I7" s="19" t="str">
        <f>IF(A7=0,"",+VLOOKUP(A7,Tabla3[],'Registro de Operaciones'!$J$6,FALSE))</f>
        <v>ALQUILER 1</v>
      </c>
      <c r="J7" s="20" t="str">
        <f t="shared" ref="J7:J39" si="4">+IF(A7&gt;0,"N","")</f>
        <v>N</v>
      </c>
      <c r="K7" s="19" t="str">
        <f>IF(A7=0,"",+VLOOKUP(A7,Tabla3[],'Registro de Operaciones'!$L$6,FALSE))</f>
        <v>ALQ LOCAL AV AREQUIPA - JUL. 26</v>
      </c>
      <c r="L7" s="20" t="str">
        <f t="shared" ref="L7:L39" si="5">+IF(A7&gt;0,"E","")</f>
        <v>E</v>
      </c>
      <c r="M7" s="30" t="str">
        <f>IF(A7=0,"",+VLOOKUP(A7,Tabla3[],'Registro de Operaciones'!$E$6,FALSE))</f>
        <v>RAFAEL.LANDAURO@UMA.EDU.PE</v>
      </c>
      <c r="N7" s="19" t="str">
        <f t="shared" ref="N7:N39" si="6">+IF(A7&gt;0,"Nayrut Flores","")</f>
        <v>Nayrut Flores</v>
      </c>
      <c r="Q7">
        <f t="shared" si="3"/>
        <v>20</v>
      </c>
      <c r="R7" t="s">
        <v>267</v>
      </c>
      <c r="S7" t="s">
        <v>156</v>
      </c>
      <c r="T7" t="s">
        <v>255</v>
      </c>
      <c r="U7" t="s">
        <v>318</v>
      </c>
      <c r="V7" t="s">
        <v>291</v>
      </c>
      <c r="W7">
        <v>9900</v>
      </c>
      <c r="X7" t="s">
        <v>270</v>
      </c>
      <c r="Y7" t="s">
        <v>155</v>
      </c>
      <c r="Z7" t="s">
        <v>259</v>
      </c>
      <c r="AA7" t="s">
        <v>157</v>
      </c>
      <c r="AB7" t="s">
        <v>260</v>
      </c>
      <c r="AC7" t="s">
        <v>1090</v>
      </c>
      <c r="AD7" t="s">
        <v>261</v>
      </c>
    </row>
    <row r="8" spans="1:31" x14ac:dyDescent="0.25">
      <c r="A8" s="29">
        <f>+BD!AE9</f>
        <v>39</v>
      </c>
      <c r="B8" s="17" t="str">
        <f>IF(A8=0,"",VLOOKUP(+VLOOKUP(A8,Tabla3[],'Registro de Operaciones'!$F$6,FALSE),DOI_Tipo,2,FALSE))</f>
        <v>L</v>
      </c>
      <c r="C8" s="19" t="str">
        <f>IF(A8=0,"",+VLOOKUP(A8,Tabla3[#All],'Registro de Operaciones'!$G$6,FALSE))</f>
        <v>06294409</v>
      </c>
      <c r="D8" s="18" t="str">
        <f>IF(A8=0,"",VLOOKUP(+VLOOKUP(A8,Tabla3[],'Registro de Operaciones'!$N$6,FALSE),Tipo_Abono,2,FALSE))</f>
        <v>P</v>
      </c>
      <c r="E8" s="19" t="str">
        <f>IF(A8=0,"",+VLOOKUP(A8,Tabla3[],'Registro de Operaciones'!$O$6,FALSE))</f>
        <v>00110872000200007559</v>
      </c>
      <c r="F8" s="19" t="str">
        <f>IF(A8=0,"",+VLOOKUP(A8,Tabla3[],'Registro de Operaciones'!$H$6,FALSE))</f>
        <v>MORAN PAREDES GLADYS IVONNE</v>
      </c>
      <c r="G8" s="32">
        <f>IF(A8=0,"",ROUND(+VLOOKUP(A8,Tabla3[],'Registro de Operaciones'!$U$6,FALSE),2))</f>
        <v>3654.36</v>
      </c>
      <c r="H8" s="20" t="str">
        <f>IF(A8=0,"",VLOOKUP(+VLOOKUP(A8,Tabla3[],'Registro de Operaciones'!$I$6,FALSE),Tipo_Recibo,2,FALSE))</f>
        <v>B</v>
      </c>
      <c r="I8" s="19" t="str">
        <f>IF(A8=0,"",+VLOOKUP(A8,Tabla3[],'Registro de Operaciones'!$J$6,FALSE))</f>
        <v>ALQUILER 2</v>
      </c>
      <c r="J8" s="20" t="str">
        <f t="shared" si="4"/>
        <v>N</v>
      </c>
      <c r="K8" s="19" t="str">
        <f>IF(A8=0,"",+VLOOKUP(A8,Tabla3[],'Registro de Operaciones'!$L$6,FALSE))</f>
        <v>ALQUILER AV CANTO BELLO 7A - JUL. 26</v>
      </c>
      <c r="L8" s="20" t="str">
        <f t="shared" si="5"/>
        <v>E</v>
      </c>
      <c r="M8" s="30" t="str">
        <f>IF(A8=0,"",+VLOOKUP(A8,Tabla3[],'Registro de Operaciones'!$E$6,FALSE))</f>
        <v>RAFAEL.LANDAURO@UMA.EDU.PE</v>
      </c>
      <c r="N8" s="19" t="str">
        <f t="shared" si="6"/>
        <v>Nayrut Flores</v>
      </c>
      <c r="Q8">
        <f t="shared" si="3"/>
        <v>20</v>
      </c>
      <c r="R8" t="s">
        <v>267</v>
      </c>
      <c r="S8" t="s">
        <v>156</v>
      </c>
      <c r="T8" t="s">
        <v>255</v>
      </c>
      <c r="U8" t="s">
        <v>318</v>
      </c>
      <c r="V8" t="s">
        <v>291</v>
      </c>
      <c r="W8" s="16">
        <v>3654.36</v>
      </c>
      <c r="X8" t="s">
        <v>270</v>
      </c>
      <c r="Y8" t="s">
        <v>158</v>
      </c>
      <c r="Z8" t="s">
        <v>259</v>
      </c>
      <c r="AA8" t="s">
        <v>159</v>
      </c>
      <c r="AB8" t="s">
        <v>260</v>
      </c>
      <c r="AC8" t="s">
        <v>1090</v>
      </c>
      <c r="AD8" t="s">
        <v>261</v>
      </c>
      <c r="AE8" t="s">
        <v>311</v>
      </c>
    </row>
    <row r="9" spans="1:31" x14ac:dyDescent="0.25">
      <c r="A9" s="29">
        <f>+BD!AE10</f>
        <v>40</v>
      </c>
      <c r="B9" s="17" t="str">
        <f>IF(A9=0,"",VLOOKUP(+VLOOKUP(A9,Tabla3[],'Registro de Operaciones'!$F$6,FALSE),DOI_Tipo,2,FALSE))</f>
        <v>L</v>
      </c>
      <c r="C9" s="19" t="str">
        <f>IF(A9=0,"",+VLOOKUP(A9,Tabla3[#All],'Registro de Operaciones'!$G$6,FALSE))</f>
        <v>06677714</v>
      </c>
      <c r="D9" s="18" t="str">
        <f>IF(A9=0,"",VLOOKUP(+VLOOKUP(A9,Tabla3[],'Registro de Operaciones'!$N$6,FALSE),Tipo_Abono,2,FALSE))</f>
        <v>P</v>
      </c>
      <c r="E9" s="19" t="str">
        <f>IF(A9=0,"",+VLOOKUP(A9,Tabla3[],'Registro de Operaciones'!$O$6,FALSE))</f>
        <v>00110360000200224009</v>
      </c>
      <c r="F9" s="19" t="str">
        <f>IF(A9=0,"",+VLOOKUP(A9,Tabla3[],'Registro de Operaciones'!$H$6,FALSE))</f>
        <v>MORAN MARQUEZ GREGORIO OSWALDO</v>
      </c>
      <c r="G9" s="32">
        <f>IF(A9=0,"",ROUND(+VLOOKUP(A9,Tabla3[],'Registro de Operaciones'!$U$6,FALSE),2))</f>
        <v>3547.42</v>
      </c>
      <c r="H9" s="20" t="str">
        <f>IF(A9=0,"",VLOOKUP(+VLOOKUP(A9,Tabla3[],'Registro de Operaciones'!$I$6,FALSE),Tipo_Recibo,2,FALSE))</f>
        <v>B</v>
      </c>
      <c r="I9" s="19" t="str">
        <f>IF(A9=0,"",+VLOOKUP(A9,Tabla3[],'Registro de Operaciones'!$J$6,FALSE))</f>
        <v>ALQUILER 3</v>
      </c>
      <c r="J9" s="20" t="str">
        <f t="shared" si="4"/>
        <v>N</v>
      </c>
      <c r="K9" s="19" t="str">
        <f>IF(A9=0,"",+VLOOKUP(A9,Tabla3[],'Registro de Operaciones'!$L$6,FALSE))</f>
        <v>ALQUILER LOS OLMOS OMORAN - JUL. 26</v>
      </c>
      <c r="L9" s="20" t="str">
        <f t="shared" si="5"/>
        <v>E</v>
      </c>
      <c r="M9" s="30" t="str">
        <f>IF(A9=0,"",+VLOOKUP(A9,Tabla3[],'Registro de Operaciones'!$E$6,FALSE))</f>
        <v>RAFAEL.LANDAURO@UMA.EDU.PE</v>
      </c>
      <c r="N9" s="19" t="str">
        <f t="shared" si="6"/>
        <v>Nayrut Flores</v>
      </c>
      <c r="Q9">
        <f t="shared" si="3"/>
        <v>20</v>
      </c>
      <c r="R9" t="s">
        <v>267</v>
      </c>
      <c r="S9" t="s">
        <v>161</v>
      </c>
      <c r="T9" t="s">
        <v>255</v>
      </c>
      <c r="U9" t="s">
        <v>319</v>
      </c>
      <c r="V9" t="s">
        <v>320</v>
      </c>
      <c r="W9" s="16">
        <v>3547.42</v>
      </c>
      <c r="X9" t="s">
        <v>270</v>
      </c>
      <c r="Y9" t="s">
        <v>160</v>
      </c>
      <c r="Z9" t="s">
        <v>259</v>
      </c>
      <c r="AA9" t="s">
        <v>162</v>
      </c>
      <c r="AB9" t="s">
        <v>260</v>
      </c>
      <c r="AC9" t="s">
        <v>1090</v>
      </c>
      <c r="AD9" t="s">
        <v>261</v>
      </c>
      <c r="AE9" t="s">
        <v>311</v>
      </c>
    </row>
    <row r="10" spans="1:31" x14ac:dyDescent="0.25">
      <c r="A10" s="29">
        <f>+BD!AE11</f>
        <v>41</v>
      </c>
      <c r="B10" s="17" t="str">
        <f>IF(A10=0,"",VLOOKUP(+VLOOKUP(A10,Tabla3[],'Registro de Operaciones'!$F$6,FALSE),DOI_Tipo,2,FALSE))</f>
        <v>L</v>
      </c>
      <c r="C10" s="19" t="str">
        <f>IF(A10=0,"",+VLOOKUP(A10,Tabla3[#All],'Registro de Operaciones'!$G$6,FALSE))</f>
        <v>06294409</v>
      </c>
      <c r="D10" s="18" t="str">
        <f>IF(A10=0,"",VLOOKUP(+VLOOKUP(A10,Tabla3[],'Registro de Operaciones'!$N$6,FALSE),Tipo_Abono,2,FALSE))</f>
        <v>P</v>
      </c>
      <c r="E10" s="19" t="str">
        <f>IF(A10=0,"",+VLOOKUP(A10,Tabla3[],'Registro de Operaciones'!$O$6,FALSE))</f>
        <v>00110872000200007559</v>
      </c>
      <c r="F10" s="19" t="str">
        <f>IF(A10=0,"",+VLOOKUP(A10,Tabla3[],'Registro de Operaciones'!$H$6,FALSE))</f>
        <v>MORAN PAREDES GLADYS IVONNE</v>
      </c>
      <c r="G10" s="32">
        <f>IF(A10=0,"",ROUND(+VLOOKUP(A10,Tabla3[],'Registro de Operaciones'!$U$6,FALSE),2))</f>
        <v>3547.42</v>
      </c>
      <c r="H10" s="20" t="str">
        <f>IF(A10=0,"",VLOOKUP(+VLOOKUP(A10,Tabla3[],'Registro de Operaciones'!$I$6,FALSE),Tipo_Recibo,2,FALSE))</f>
        <v>B</v>
      </c>
      <c r="I10" s="19" t="str">
        <f>IF(A10=0,"",+VLOOKUP(A10,Tabla3[],'Registro de Operaciones'!$J$6,FALSE))</f>
        <v>ALQUILER 4</v>
      </c>
      <c r="J10" s="20" t="str">
        <f t="shared" si="4"/>
        <v>N</v>
      </c>
      <c r="K10" s="19" t="str">
        <f>IF(A10=0,"",+VLOOKUP(A10,Tabla3[],'Registro de Operaciones'!$L$6,FALSE))</f>
        <v>ALQUILER LOS OLMOS GMORAN - JUL. 26</v>
      </c>
      <c r="L10" s="20" t="str">
        <f t="shared" si="5"/>
        <v>E</v>
      </c>
      <c r="M10" s="30" t="str">
        <f>IF(A10=0,"",+VLOOKUP(A10,Tabla3[],'Registro de Operaciones'!$E$6,FALSE))</f>
        <v>RAFAEL.LANDAURO@UMA.EDU.PE</v>
      </c>
      <c r="N10" s="19" t="str">
        <f t="shared" si="6"/>
        <v>Nayrut Flores</v>
      </c>
      <c r="Q10">
        <f t="shared" si="3"/>
        <v>20</v>
      </c>
      <c r="R10" t="s">
        <v>267</v>
      </c>
      <c r="S10" t="s">
        <v>156</v>
      </c>
      <c r="T10" t="s">
        <v>255</v>
      </c>
      <c r="U10" t="s">
        <v>318</v>
      </c>
      <c r="V10" t="s">
        <v>291</v>
      </c>
      <c r="W10">
        <v>3547.42</v>
      </c>
      <c r="X10" t="s">
        <v>270</v>
      </c>
      <c r="Y10" t="s">
        <v>163</v>
      </c>
      <c r="Z10" t="s">
        <v>259</v>
      </c>
      <c r="AA10" t="s">
        <v>164</v>
      </c>
      <c r="AB10" t="s">
        <v>260</v>
      </c>
      <c r="AC10" t="s">
        <v>1090</v>
      </c>
      <c r="AD10" t="s">
        <v>261</v>
      </c>
      <c r="AE10" t="s">
        <v>311</v>
      </c>
    </row>
    <row r="11" spans="1:31" x14ac:dyDescent="0.25">
      <c r="A11" s="29">
        <f>+BD!AE12</f>
        <v>0</v>
      </c>
      <c r="B11" s="17" t="str">
        <f>IF(A11=0,"",VLOOKUP(+VLOOKUP(A11,Tabla3[],'Registro de Operaciones'!$F$6,FALSE),DOI_Tipo,2,FALSE))</f>
        <v/>
      </c>
      <c r="C11" s="19" t="str">
        <f>IF(A11=0,"",+VLOOKUP(A11,Tabla3[#All],'Registro de Operaciones'!$G$6,FALSE))</f>
        <v/>
      </c>
      <c r="D11" s="18" t="str">
        <f>IF(A11=0,"",VLOOKUP(+VLOOKUP(A11,Tabla3[],'Registro de Operaciones'!$N$6,FALSE),Tipo_Abono,2,FALSE))</f>
        <v/>
      </c>
      <c r="E11" s="19" t="str">
        <f>IF(A11=0,"",+VLOOKUP(A11,Tabla3[],'Registro de Operaciones'!$O$6,FALSE))</f>
        <v/>
      </c>
      <c r="F11" s="19" t="str">
        <f>IF(A11=0,"",+VLOOKUP(A11,Tabla3[],'Registro de Operaciones'!$H$6,FALSE))</f>
        <v/>
      </c>
      <c r="G11" s="32" t="str">
        <f>IF(A11=0,"",ROUND(+VLOOKUP(A11,Tabla3[],'Registro de Operaciones'!$U$6,FALSE),2))</f>
        <v/>
      </c>
      <c r="H11" s="20" t="str">
        <f>IF(A11=0,"",VLOOKUP(+VLOOKUP(A11,Tabla3[],'Registro de Operaciones'!$I$6,FALSE),Tipo_Recibo,2,FALSE))</f>
        <v/>
      </c>
      <c r="I11" s="19" t="str">
        <f>IF(A11=0,"",+VLOOKUP(A11,Tabla3[],'Registro de Operaciones'!$J$6,FALSE))</f>
        <v/>
      </c>
      <c r="J11" s="20" t="str">
        <f t="shared" si="4"/>
        <v/>
      </c>
      <c r="K11" s="19" t="str">
        <f>IF(A11=0,"",+VLOOKUP(A11,Tabla3[],'Registro de Operaciones'!$L$6,FALSE))</f>
        <v/>
      </c>
      <c r="L11" s="20" t="str">
        <f t="shared" si="5"/>
        <v/>
      </c>
      <c r="M11" s="30" t="str">
        <f>IF(A11=0,"",+VLOOKUP(A11,Tabla3[],'Registro de Operaciones'!$E$6,FALSE))</f>
        <v/>
      </c>
      <c r="N11" s="19" t="str">
        <f t="shared" si="6"/>
        <v/>
      </c>
      <c r="Q11">
        <f t="shared" si="3"/>
        <v>0</v>
      </c>
      <c r="R11" t="s">
        <v>311</v>
      </c>
      <c r="S11" t="s">
        <v>311</v>
      </c>
      <c r="T11" t="s">
        <v>311</v>
      </c>
      <c r="U11" t="s">
        <v>311</v>
      </c>
      <c r="V11" t="s">
        <v>311</v>
      </c>
      <c r="W11" t="s">
        <v>311</v>
      </c>
      <c r="X11" t="s">
        <v>311</v>
      </c>
      <c r="Y11" t="s">
        <v>311</v>
      </c>
      <c r="Z11" t="s">
        <v>311</v>
      </c>
      <c r="AA11" t="s">
        <v>311</v>
      </c>
      <c r="AB11" t="s">
        <v>311</v>
      </c>
      <c r="AC11" t="s">
        <v>311</v>
      </c>
      <c r="AD11" t="s">
        <v>311</v>
      </c>
      <c r="AE11" t="s">
        <v>311</v>
      </c>
    </row>
    <row r="12" spans="1:31" x14ac:dyDescent="0.25">
      <c r="A12" s="29">
        <f>+BD!AE13</f>
        <v>0</v>
      </c>
      <c r="B12" s="17" t="str">
        <f>IF(A12=0,"",VLOOKUP(+VLOOKUP(A12,Tabla3[],'Registro de Operaciones'!$F$6,FALSE),DOI_Tipo,2,FALSE))</f>
        <v/>
      </c>
      <c r="C12" s="19" t="str">
        <f>IF(A12=0,"",+VLOOKUP(A12,Tabla3[#All],'Registro de Operaciones'!$G$6,FALSE))</f>
        <v/>
      </c>
      <c r="D12" s="18" t="str">
        <f>IF(A12=0,"",VLOOKUP(+VLOOKUP(A12,Tabla3[],'Registro de Operaciones'!$N$6,FALSE),Tipo_Abono,2,FALSE))</f>
        <v/>
      </c>
      <c r="E12" s="19" t="str">
        <f>IF(A12=0,"",+VLOOKUP(A12,Tabla3[],'Registro de Operaciones'!$O$6,FALSE))</f>
        <v/>
      </c>
      <c r="F12" s="19" t="str">
        <f>IF(A12=0,"",+VLOOKUP(A12,Tabla3[],'Registro de Operaciones'!$H$6,FALSE))</f>
        <v/>
      </c>
      <c r="G12" s="32" t="str">
        <f>IF(A12=0,"",ROUND(+VLOOKUP(A12,Tabla3[],'Registro de Operaciones'!$U$6,FALSE),2))</f>
        <v/>
      </c>
      <c r="H12" s="20" t="str">
        <f>IF(A12=0,"",VLOOKUP(+VLOOKUP(A12,Tabla3[],'Registro de Operaciones'!$I$6,FALSE),Tipo_Recibo,2,FALSE))</f>
        <v/>
      </c>
      <c r="I12" s="19" t="str">
        <f>IF(A12=0,"",+VLOOKUP(A12,Tabla3[],'Registro de Operaciones'!$J$6,FALSE))</f>
        <v/>
      </c>
      <c r="J12" s="20" t="str">
        <f t="shared" si="4"/>
        <v/>
      </c>
      <c r="K12" s="19" t="str">
        <f>IF(A12=0,"",+VLOOKUP(A12,Tabla3[],'Registro de Operaciones'!$L$6,FALSE))</f>
        <v/>
      </c>
      <c r="L12" s="20" t="str">
        <f t="shared" si="5"/>
        <v/>
      </c>
      <c r="M12" s="30" t="str">
        <f>IF(A12=0,"",+VLOOKUP(A12,Tabla3[],'Registro de Operaciones'!$E$6,FALSE))</f>
        <v/>
      </c>
      <c r="N12" s="19" t="str">
        <f t="shared" si="6"/>
        <v/>
      </c>
      <c r="Q12">
        <f t="shared" si="3"/>
        <v>0</v>
      </c>
      <c r="R12" t="s">
        <v>311</v>
      </c>
      <c r="S12" t="s">
        <v>311</v>
      </c>
      <c r="T12" t="s">
        <v>311</v>
      </c>
      <c r="U12" t="s">
        <v>311</v>
      </c>
      <c r="V12" t="s">
        <v>311</v>
      </c>
      <c r="W12" t="s">
        <v>311</v>
      </c>
      <c r="X12" t="s">
        <v>311</v>
      </c>
      <c r="Y12" t="s">
        <v>311</v>
      </c>
      <c r="Z12" t="s">
        <v>311</v>
      </c>
      <c r="AA12" t="s">
        <v>311</v>
      </c>
      <c r="AB12" t="s">
        <v>311</v>
      </c>
      <c r="AC12" t="s">
        <v>311</v>
      </c>
      <c r="AD12" t="s">
        <v>311</v>
      </c>
      <c r="AE12" t="s">
        <v>311</v>
      </c>
    </row>
    <row r="13" spans="1:31" x14ac:dyDescent="0.25">
      <c r="A13" s="29">
        <f>+BD!AE14</f>
        <v>0</v>
      </c>
      <c r="B13" s="17" t="str">
        <f>IF(A13=0,"",VLOOKUP(+VLOOKUP(A13,Tabla3[],'Registro de Operaciones'!$F$6,FALSE),DOI_Tipo,2,FALSE))</f>
        <v/>
      </c>
      <c r="C13" s="19" t="str">
        <f>IF(A13=0,"",+VLOOKUP(A13,Tabla3[#All],'Registro de Operaciones'!$G$6,FALSE))</f>
        <v/>
      </c>
      <c r="D13" s="18" t="str">
        <f>IF(A13=0,"",VLOOKUP(+VLOOKUP(A13,Tabla3[],'Registro de Operaciones'!$N$6,FALSE),Tipo_Abono,2,FALSE))</f>
        <v/>
      </c>
      <c r="E13" s="19" t="str">
        <f>IF(A13=0,"",+VLOOKUP(A13,Tabla3[],'Registro de Operaciones'!$O$6,FALSE))</f>
        <v/>
      </c>
      <c r="F13" s="19" t="str">
        <f>IF(A13=0,"",+VLOOKUP(A13,Tabla3[],'Registro de Operaciones'!$H$6,FALSE))</f>
        <v/>
      </c>
      <c r="G13" s="32" t="str">
        <f>IF(A13=0,"",ROUND(+VLOOKUP(A13,Tabla3[],'Registro de Operaciones'!$U$6,FALSE),2))</f>
        <v/>
      </c>
      <c r="H13" s="20" t="str">
        <f>IF(A13=0,"",VLOOKUP(+VLOOKUP(A13,Tabla3[],'Registro de Operaciones'!$I$6,FALSE),Tipo_Recibo,2,FALSE))</f>
        <v/>
      </c>
      <c r="I13" s="19" t="str">
        <f>IF(A13=0,"",+VLOOKUP(A13,Tabla3[],'Registro de Operaciones'!$J$6,FALSE))</f>
        <v/>
      </c>
      <c r="J13" s="20" t="str">
        <f t="shared" si="4"/>
        <v/>
      </c>
      <c r="K13" s="19" t="str">
        <f>IF(A13=0,"",+VLOOKUP(A13,Tabla3[],'Registro de Operaciones'!$L$6,FALSE))</f>
        <v/>
      </c>
      <c r="L13" s="20" t="str">
        <f t="shared" si="5"/>
        <v/>
      </c>
      <c r="M13" s="30" t="str">
        <f>IF(A13=0,"",+VLOOKUP(A13,Tabla3[],'Registro de Operaciones'!$E$6,FALSE))</f>
        <v/>
      </c>
      <c r="N13" s="19" t="str">
        <f t="shared" si="6"/>
        <v/>
      </c>
      <c r="Q13">
        <f t="shared" si="3"/>
        <v>0</v>
      </c>
      <c r="R13" t="s">
        <v>311</v>
      </c>
      <c r="S13" t="s">
        <v>311</v>
      </c>
      <c r="T13" t="s">
        <v>311</v>
      </c>
      <c r="U13" t="s">
        <v>311</v>
      </c>
      <c r="V13" t="s">
        <v>311</v>
      </c>
      <c r="W13" t="s">
        <v>311</v>
      </c>
      <c r="X13" t="s">
        <v>311</v>
      </c>
      <c r="Y13" t="s">
        <v>311</v>
      </c>
      <c r="Z13" t="s">
        <v>311</v>
      </c>
      <c r="AA13" t="s">
        <v>311</v>
      </c>
      <c r="AB13" t="s">
        <v>311</v>
      </c>
      <c r="AC13" t="s">
        <v>311</v>
      </c>
      <c r="AD13" t="s">
        <v>311</v>
      </c>
      <c r="AE13" t="s">
        <v>311</v>
      </c>
    </row>
    <row r="14" spans="1:31" x14ac:dyDescent="0.25">
      <c r="A14" s="29">
        <f>+BD!AE15</f>
        <v>0</v>
      </c>
      <c r="B14" s="17" t="str">
        <f>IF(A14=0,"",VLOOKUP(+VLOOKUP(A14,Tabla3[],'Registro de Operaciones'!$F$6,FALSE),DOI_Tipo,2,FALSE))</f>
        <v/>
      </c>
      <c r="C14" s="19" t="str">
        <f>IF(A14=0,"",+VLOOKUP(A14,Tabla3[#All],'Registro de Operaciones'!$G$6,FALSE))</f>
        <v/>
      </c>
      <c r="D14" s="18" t="str">
        <f>IF(A14=0,"",VLOOKUP(+VLOOKUP(A14,Tabla3[],'Registro de Operaciones'!$N$6,FALSE),Tipo_Abono,2,FALSE))</f>
        <v/>
      </c>
      <c r="E14" s="19" t="str">
        <f>IF(A14=0,"",+VLOOKUP(A14,Tabla3[],'Registro de Operaciones'!$O$6,FALSE))</f>
        <v/>
      </c>
      <c r="F14" s="19" t="str">
        <f>IF(A14=0,"",+VLOOKUP(A14,Tabla3[],'Registro de Operaciones'!$H$6,FALSE))</f>
        <v/>
      </c>
      <c r="G14" s="32" t="str">
        <f>IF(A14=0,"",ROUND(+VLOOKUP(A14,Tabla3[],'Registro de Operaciones'!$U$6,FALSE),2))</f>
        <v/>
      </c>
      <c r="H14" s="20" t="str">
        <f>IF(A14=0,"",VLOOKUP(+VLOOKUP(A14,Tabla3[],'Registro de Operaciones'!$I$6,FALSE),Tipo_Recibo,2,FALSE))</f>
        <v/>
      </c>
      <c r="I14" s="19" t="str">
        <f>IF(A14=0,"",+VLOOKUP(A14,Tabla3[],'Registro de Operaciones'!$J$6,FALSE))</f>
        <v/>
      </c>
      <c r="J14" s="20" t="str">
        <f t="shared" si="4"/>
        <v/>
      </c>
      <c r="K14" s="19" t="str">
        <f>IF(A14=0,"",+VLOOKUP(A14,Tabla3[],'Registro de Operaciones'!$L$6,FALSE))</f>
        <v/>
      </c>
      <c r="L14" s="20" t="str">
        <f t="shared" si="5"/>
        <v/>
      </c>
      <c r="M14" s="30" t="str">
        <f>IF(A14=0,"",+VLOOKUP(A14,Tabla3[],'Registro de Operaciones'!$E$6,FALSE))</f>
        <v/>
      </c>
      <c r="N14" s="19" t="str">
        <f t="shared" si="6"/>
        <v/>
      </c>
      <c r="Q14">
        <f t="shared" si="3"/>
        <v>0</v>
      </c>
      <c r="R14" t="s">
        <v>311</v>
      </c>
      <c r="S14" t="s">
        <v>311</v>
      </c>
      <c r="T14" t="s">
        <v>311</v>
      </c>
      <c r="U14" t="s">
        <v>311</v>
      </c>
      <c r="V14" t="s">
        <v>311</v>
      </c>
      <c r="W14" t="s">
        <v>311</v>
      </c>
      <c r="X14" t="s">
        <v>311</v>
      </c>
      <c r="Y14" t="s">
        <v>311</v>
      </c>
      <c r="Z14" t="s">
        <v>311</v>
      </c>
      <c r="AA14" t="s">
        <v>311</v>
      </c>
      <c r="AB14" t="s">
        <v>311</v>
      </c>
      <c r="AC14" t="s">
        <v>311</v>
      </c>
      <c r="AD14" t="s">
        <v>311</v>
      </c>
      <c r="AE14" t="s">
        <v>311</v>
      </c>
    </row>
    <row r="15" spans="1:31" x14ac:dyDescent="0.25">
      <c r="A15" s="29">
        <f>+BD!AE16</f>
        <v>0</v>
      </c>
      <c r="B15" s="17" t="str">
        <f>IF(A15=0,"",VLOOKUP(+VLOOKUP(A15,Tabla3[],'Registro de Operaciones'!$F$6,FALSE),DOI_Tipo,2,FALSE))</f>
        <v/>
      </c>
      <c r="C15" s="19" t="str">
        <f>IF(A15=0,"",+VLOOKUP(A15,Tabla3[#All],'Registro de Operaciones'!$G$6,FALSE))</f>
        <v/>
      </c>
      <c r="D15" s="18" t="str">
        <f>IF(A15=0,"",VLOOKUP(+VLOOKUP(A15,Tabla3[],'Registro de Operaciones'!$N$6,FALSE),Tipo_Abono,2,FALSE))</f>
        <v/>
      </c>
      <c r="E15" s="19" t="str">
        <f>IF(A15=0,"",+VLOOKUP(A15,Tabla3[],'Registro de Operaciones'!$O$6,FALSE))</f>
        <v/>
      </c>
      <c r="F15" s="19" t="str">
        <f>IF(A15=0,"",+VLOOKUP(A15,Tabla3[],'Registro de Operaciones'!$H$6,FALSE))</f>
        <v/>
      </c>
      <c r="G15" s="32" t="str">
        <f>IF(A15=0,"",ROUND(+VLOOKUP(A15,Tabla3[],'Registro de Operaciones'!$U$6,FALSE),2))</f>
        <v/>
      </c>
      <c r="H15" s="20" t="str">
        <f>IF(A15=0,"",VLOOKUP(+VLOOKUP(A15,Tabla3[],'Registro de Operaciones'!$I$6,FALSE),Tipo_Recibo,2,FALSE))</f>
        <v/>
      </c>
      <c r="I15" s="19" t="str">
        <f>IF(A15=0,"",+VLOOKUP(A15,Tabla3[],'Registro de Operaciones'!$J$6,FALSE))</f>
        <v/>
      </c>
      <c r="J15" s="20" t="str">
        <f t="shared" si="4"/>
        <v/>
      </c>
      <c r="K15" s="19" t="str">
        <f>IF(A15=0,"",+VLOOKUP(A15,Tabla3[],'Registro de Operaciones'!$L$6,FALSE))</f>
        <v/>
      </c>
      <c r="L15" s="20" t="str">
        <f t="shared" si="5"/>
        <v/>
      </c>
      <c r="M15" s="30" t="str">
        <f>IF(A15=0,"",+VLOOKUP(A15,Tabla3[],'Registro de Operaciones'!$E$6,FALSE))</f>
        <v/>
      </c>
      <c r="N15" s="19" t="str">
        <f t="shared" si="6"/>
        <v/>
      </c>
      <c r="Q15">
        <f t="shared" si="3"/>
        <v>0</v>
      </c>
      <c r="R15" t="s">
        <v>311</v>
      </c>
      <c r="S15" t="s">
        <v>311</v>
      </c>
      <c r="T15" t="s">
        <v>311</v>
      </c>
      <c r="U15" t="s">
        <v>311</v>
      </c>
      <c r="V15" t="s">
        <v>311</v>
      </c>
      <c r="W15" t="s">
        <v>311</v>
      </c>
      <c r="X15" t="s">
        <v>311</v>
      </c>
      <c r="Y15" t="s">
        <v>311</v>
      </c>
      <c r="Z15" t="s">
        <v>311</v>
      </c>
      <c r="AA15" t="s">
        <v>311</v>
      </c>
      <c r="AB15" t="s">
        <v>311</v>
      </c>
      <c r="AC15" t="s">
        <v>311</v>
      </c>
      <c r="AD15" t="s">
        <v>311</v>
      </c>
      <c r="AE15" t="s">
        <v>311</v>
      </c>
    </row>
    <row r="16" spans="1:31" x14ac:dyDescent="0.25">
      <c r="A16" s="29">
        <f>+BD!AE17</f>
        <v>0</v>
      </c>
      <c r="B16" s="17" t="str">
        <f>IF(A16=0,"",VLOOKUP(+VLOOKUP(A16,Tabla3[],'Registro de Operaciones'!$F$6,FALSE),DOI_Tipo,2,FALSE))</f>
        <v/>
      </c>
      <c r="C16" s="19" t="str">
        <f>IF(A16=0,"",+VLOOKUP(A16,Tabla3[#All],'Registro de Operaciones'!$G$6,FALSE))</f>
        <v/>
      </c>
      <c r="D16" s="18" t="str">
        <f>IF(A16=0,"",VLOOKUP(+VLOOKUP(A16,Tabla3[],'Registro de Operaciones'!$N$6,FALSE),Tipo_Abono,2,FALSE))</f>
        <v/>
      </c>
      <c r="E16" s="19" t="str">
        <f>IF(A16=0,"",+VLOOKUP(A16,Tabla3[],'Registro de Operaciones'!$O$6,FALSE))</f>
        <v/>
      </c>
      <c r="F16" s="19" t="str">
        <f>IF(A16=0,"",+VLOOKUP(A16,Tabla3[],'Registro de Operaciones'!$H$6,FALSE))</f>
        <v/>
      </c>
      <c r="G16" s="32" t="str">
        <f>IF(A16=0,"",ROUND(+VLOOKUP(A16,Tabla3[],'Registro de Operaciones'!$U$6,FALSE),2))</f>
        <v/>
      </c>
      <c r="H16" s="20" t="str">
        <f>IF(A16=0,"",VLOOKUP(+VLOOKUP(A16,Tabla3[],'Registro de Operaciones'!$I$6,FALSE),Tipo_Recibo,2,FALSE))</f>
        <v/>
      </c>
      <c r="I16" s="19" t="str">
        <f>IF(A16=0,"",+VLOOKUP(A16,Tabla3[],'Registro de Operaciones'!$J$6,FALSE))</f>
        <v/>
      </c>
      <c r="J16" s="20" t="str">
        <f t="shared" si="4"/>
        <v/>
      </c>
      <c r="K16" s="19" t="str">
        <f>IF(A16=0,"",+VLOOKUP(A16,Tabla3[],'Registro de Operaciones'!$L$6,FALSE))</f>
        <v/>
      </c>
      <c r="L16" s="20" t="str">
        <f t="shared" si="5"/>
        <v/>
      </c>
      <c r="M16" s="30" t="str">
        <f>IF(A16=0,"",+VLOOKUP(A16,Tabla3[],'Registro de Operaciones'!$E$6,FALSE))</f>
        <v/>
      </c>
      <c r="N16" s="19" t="str">
        <f t="shared" si="6"/>
        <v/>
      </c>
      <c r="Q16">
        <f t="shared" si="3"/>
        <v>0</v>
      </c>
      <c r="R16" t="s">
        <v>311</v>
      </c>
      <c r="S16" t="s">
        <v>311</v>
      </c>
      <c r="T16" t="s">
        <v>311</v>
      </c>
      <c r="U16" t="s">
        <v>311</v>
      </c>
      <c r="V16" t="s">
        <v>311</v>
      </c>
      <c r="W16" t="s">
        <v>311</v>
      </c>
      <c r="X16" t="s">
        <v>311</v>
      </c>
      <c r="Y16" t="s">
        <v>311</v>
      </c>
      <c r="Z16" t="s">
        <v>311</v>
      </c>
      <c r="AA16" t="s">
        <v>311</v>
      </c>
      <c r="AB16" t="s">
        <v>311</v>
      </c>
      <c r="AC16" t="s">
        <v>311</v>
      </c>
      <c r="AD16" t="s">
        <v>311</v>
      </c>
      <c r="AE16" t="s">
        <v>311</v>
      </c>
    </row>
    <row r="17" spans="1:31" x14ac:dyDescent="0.25">
      <c r="A17" s="29">
        <f>+BD!AE18</f>
        <v>0</v>
      </c>
      <c r="B17" s="17" t="str">
        <f>IF(A17=0,"",VLOOKUP(+VLOOKUP(A17,Tabla3[],'Registro de Operaciones'!$F$6,FALSE),DOI_Tipo,2,FALSE))</f>
        <v/>
      </c>
      <c r="C17" s="19" t="str">
        <f>IF(A17=0,"",+VLOOKUP(A17,Tabla3[#All],'Registro de Operaciones'!$G$6,FALSE))</f>
        <v/>
      </c>
      <c r="D17" s="18" t="str">
        <f>IF(A17=0,"",VLOOKUP(+VLOOKUP(A17,Tabla3[],'Registro de Operaciones'!$N$6,FALSE),Tipo_Abono,2,FALSE))</f>
        <v/>
      </c>
      <c r="E17" s="19" t="str">
        <f>IF(A17=0,"",+VLOOKUP(A17,Tabla3[],'Registro de Operaciones'!$O$6,FALSE))</f>
        <v/>
      </c>
      <c r="F17" s="19" t="str">
        <f>IF(A17=0,"",+VLOOKUP(A17,Tabla3[],'Registro de Operaciones'!$H$6,FALSE))</f>
        <v/>
      </c>
      <c r="G17" s="32" t="str">
        <f>IF(A17=0,"",ROUND(+VLOOKUP(A17,Tabla3[],'Registro de Operaciones'!$U$6,FALSE),2))</f>
        <v/>
      </c>
      <c r="H17" s="20" t="str">
        <f>IF(A17=0,"",VLOOKUP(+VLOOKUP(A17,Tabla3[],'Registro de Operaciones'!$I$6,FALSE),Tipo_Recibo,2,FALSE))</f>
        <v/>
      </c>
      <c r="I17" s="19" t="str">
        <f>IF(A17=0,"",+VLOOKUP(A17,Tabla3[],'Registro de Operaciones'!$J$6,FALSE))</f>
        <v/>
      </c>
      <c r="J17" s="20" t="str">
        <f t="shared" si="4"/>
        <v/>
      </c>
      <c r="K17" s="19" t="str">
        <f>IF(A17=0,"",+VLOOKUP(A17,Tabla3[],'Registro de Operaciones'!$L$6,FALSE))</f>
        <v/>
      </c>
      <c r="L17" s="20" t="str">
        <f t="shared" si="5"/>
        <v/>
      </c>
      <c r="M17" s="30" t="str">
        <f>IF(A17=0,"",+VLOOKUP(A17,Tabla3[],'Registro de Operaciones'!$E$6,FALSE))</f>
        <v/>
      </c>
      <c r="N17" s="19" t="str">
        <f t="shared" si="6"/>
        <v/>
      </c>
      <c r="Q17">
        <f t="shared" si="3"/>
        <v>0</v>
      </c>
      <c r="R17" t="s">
        <v>311</v>
      </c>
      <c r="S17" t="s">
        <v>311</v>
      </c>
      <c r="T17" t="s">
        <v>311</v>
      </c>
      <c r="U17" t="s">
        <v>311</v>
      </c>
      <c r="V17" t="s">
        <v>311</v>
      </c>
      <c r="W17" t="s">
        <v>311</v>
      </c>
      <c r="X17" t="s">
        <v>311</v>
      </c>
      <c r="Y17" t="s">
        <v>311</v>
      </c>
      <c r="Z17" t="s">
        <v>311</v>
      </c>
      <c r="AA17" t="s">
        <v>311</v>
      </c>
      <c r="AB17" t="s">
        <v>311</v>
      </c>
      <c r="AC17" t="s">
        <v>311</v>
      </c>
      <c r="AD17" t="s">
        <v>311</v>
      </c>
      <c r="AE17" t="s">
        <v>311</v>
      </c>
    </row>
    <row r="18" spans="1:31" x14ac:dyDescent="0.25">
      <c r="A18" s="29">
        <f>+BD!AE19</f>
        <v>0</v>
      </c>
      <c r="B18" s="17" t="str">
        <f>IF(A18=0,"",VLOOKUP(+VLOOKUP(A18,Tabla3[],'Registro de Operaciones'!$F$6,FALSE),DOI_Tipo,2,FALSE))</f>
        <v/>
      </c>
      <c r="C18" s="19" t="str">
        <f>IF(A18=0,"",+VLOOKUP(A18,Tabla3[#All],'Registro de Operaciones'!$G$6,FALSE))</f>
        <v/>
      </c>
      <c r="D18" s="18" t="str">
        <f>IF(A18=0,"",VLOOKUP(+VLOOKUP(A18,Tabla3[],'Registro de Operaciones'!$N$6,FALSE),Tipo_Abono,2,FALSE))</f>
        <v/>
      </c>
      <c r="E18" s="19" t="str">
        <f>IF(A18=0,"",+VLOOKUP(A18,Tabla3[],'Registro de Operaciones'!$O$6,FALSE))</f>
        <v/>
      </c>
      <c r="F18" s="19" t="str">
        <f>IF(A18=0,"",+VLOOKUP(A18,Tabla3[],'Registro de Operaciones'!$H$6,FALSE))</f>
        <v/>
      </c>
      <c r="G18" s="32" t="str">
        <f>IF(A18=0,"",ROUND(+VLOOKUP(A18,Tabla3[],'Registro de Operaciones'!$U$6,FALSE),2))</f>
        <v/>
      </c>
      <c r="H18" s="20" t="str">
        <f>IF(A18=0,"",VLOOKUP(+VLOOKUP(A18,Tabla3[],'Registro de Operaciones'!$I$6,FALSE),Tipo_Recibo,2,FALSE))</f>
        <v/>
      </c>
      <c r="I18" s="19" t="str">
        <f>IF(A18=0,"",+VLOOKUP(A18,Tabla3[],'Registro de Operaciones'!$J$6,FALSE))</f>
        <v/>
      </c>
      <c r="J18" s="20" t="str">
        <f t="shared" si="4"/>
        <v/>
      </c>
      <c r="K18" s="19" t="str">
        <f>IF(A18=0,"",+VLOOKUP(A18,Tabla3[],'Registro de Operaciones'!$L$6,FALSE))</f>
        <v/>
      </c>
      <c r="L18" s="20" t="str">
        <f t="shared" si="5"/>
        <v/>
      </c>
      <c r="M18" s="30" t="str">
        <f>IF(A18=0,"",+VLOOKUP(A18,Tabla3[],'Registro de Operaciones'!$E$6,FALSE))</f>
        <v/>
      </c>
      <c r="N18" s="19" t="str">
        <f t="shared" si="6"/>
        <v/>
      </c>
      <c r="Q18">
        <f t="shared" si="3"/>
        <v>0</v>
      </c>
      <c r="R18" t="s">
        <v>311</v>
      </c>
      <c r="S18" t="s">
        <v>311</v>
      </c>
      <c r="T18" t="s">
        <v>311</v>
      </c>
      <c r="U18" t="s">
        <v>311</v>
      </c>
      <c r="V18" t="s">
        <v>311</v>
      </c>
      <c r="W18" t="s">
        <v>311</v>
      </c>
      <c r="X18" t="s">
        <v>311</v>
      </c>
      <c r="Y18" t="s">
        <v>311</v>
      </c>
      <c r="Z18" t="s">
        <v>311</v>
      </c>
      <c r="AA18" t="s">
        <v>311</v>
      </c>
      <c r="AB18" t="s">
        <v>311</v>
      </c>
      <c r="AC18" t="s">
        <v>311</v>
      </c>
      <c r="AD18" t="s">
        <v>311</v>
      </c>
      <c r="AE18" t="s">
        <v>311</v>
      </c>
    </row>
    <row r="19" spans="1:31" x14ac:dyDescent="0.25">
      <c r="A19" s="29">
        <f>+BD!AE20</f>
        <v>0</v>
      </c>
      <c r="B19" s="17" t="str">
        <f>IF(A19=0,"",VLOOKUP(+VLOOKUP(A19,Tabla3[],'Registro de Operaciones'!$F$6,FALSE),DOI_Tipo,2,FALSE))</f>
        <v/>
      </c>
      <c r="C19" s="19" t="str">
        <f>IF(A19=0,"",+VLOOKUP(A19,Tabla3[#All],'Registro de Operaciones'!$G$6,FALSE))</f>
        <v/>
      </c>
      <c r="D19" s="18" t="str">
        <f>IF(A19=0,"",VLOOKUP(+VLOOKUP(A19,Tabla3[],'Registro de Operaciones'!$N$6,FALSE),Tipo_Abono,2,FALSE))</f>
        <v/>
      </c>
      <c r="E19" s="19" t="str">
        <f>IF(A19=0,"",+VLOOKUP(A19,Tabla3[],'Registro de Operaciones'!$O$6,FALSE))</f>
        <v/>
      </c>
      <c r="F19" s="19" t="str">
        <f>IF(A19=0,"",+VLOOKUP(A19,Tabla3[],'Registro de Operaciones'!$H$6,FALSE))</f>
        <v/>
      </c>
      <c r="G19" s="32" t="str">
        <f>IF(A19=0,"",ROUND(+VLOOKUP(A19,Tabla3[],'Registro de Operaciones'!$U$6,FALSE),2))</f>
        <v/>
      </c>
      <c r="H19" s="20" t="str">
        <f>IF(A19=0,"",VLOOKUP(+VLOOKUP(A19,Tabla3[],'Registro de Operaciones'!$I$6,FALSE),Tipo_Recibo,2,FALSE))</f>
        <v/>
      </c>
      <c r="I19" s="19" t="str">
        <f>IF(A19=0,"",+VLOOKUP(A19,Tabla3[],'Registro de Operaciones'!$J$6,FALSE))</f>
        <v/>
      </c>
      <c r="J19" s="20" t="str">
        <f t="shared" si="4"/>
        <v/>
      </c>
      <c r="K19" s="19" t="str">
        <f>IF(A19=0,"",+VLOOKUP(A19,Tabla3[],'Registro de Operaciones'!$L$6,FALSE))</f>
        <v/>
      </c>
      <c r="L19" s="20" t="str">
        <f t="shared" si="5"/>
        <v/>
      </c>
      <c r="M19" s="30" t="str">
        <f>IF(A19=0,"",+VLOOKUP(A19,Tabla3[],'Registro de Operaciones'!$E$6,FALSE))</f>
        <v/>
      </c>
      <c r="N19" s="19" t="str">
        <f t="shared" si="6"/>
        <v/>
      </c>
      <c r="Q19">
        <f t="shared" si="3"/>
        <v>0</v>
      </c>
      <c r="R19" t="s">
        <v>311</v>
      </c>
      <c r="S19" t="s">
        <v>311</v>
      </c>
      <c r="T19" t="s">
        <v>311</v>
      </c>
      <c r="U19" t="s">
        <v>311</v>
      </c>
      <c r="V19" t="s">
        <v>311</v>
      </c>
      <c r="W19" t="s">
        <v>311</v>
      </c>
      <c r="X19" t="s">
        <v>311</v>
      </c>
      <c r="Y19" t="s">
        <v>311</v>
      </c>
      <c r="Z19" t="s">
        <v>311</v>
      </c>
      <c r="AA19" t="s">
        <v>311</v>
      </c>
      <c r="AB19" t="s">
        <v>311</v>
      </c>
      <c r="AC19" t="s">
        <v>311</v>
      </c>
      <c r="AD19" t="s">
        <v>311</v>
      </c>
      <c r="AE19" t="s">
        <v>311</v>
      </c>
    </row>
    <row r="20" spans="1:31" x14ac:dyDescent="0.25">
      <c r="A20" s="29">
        <f>+BD!AE21</f>
        <v>0</v>
      </c>
      <c r="B20" s="17" t="str">
        <f>IF(A20=0,"",VLOOKUP(+VLOOKUP(A20,Tabla3[],'Registro de Operaciones'!$F$6,FALSE),DOI_Tipo,2,FALSE))</f>
        <v/>
      </c>
      <c r="C20" s="19" t="str">
        <f>IF(A20=0,"",+VLOOKUP(A20,Tabla3[#All],'Registro de Operaciones'!$G$6,FALSE))</f>
        <v/>
      </c>
      <c r="D20" s="18" t="str">
        <f>IF(A20=0,"",VLOOKUP(+VLOOKUP(A20,Tabla3[],'Registro de Operaciones'!$N$6,FALSE),Tipo_Abono,2,FALSE))</f>
        <v/>
      </c>
      <c r="E20" s="19" t="str">
        <f>IF(A20=0,"",+VLOOKUP(A20,Tabla3[],'Registro de Operaciones'!$O$6,FALSE))</f>
        <v/>
      </c>
      <c r="F20" s="19" t="str">
        <f>IF(A20=0,"",+VLOOKUP(A20,Tabla3[],'Registro de Operaciones'!$H$6,FALSE))</f>
        <v/>
      </c>
      <c r="G20" s="32" t="str">
        <f>IF(A20=0,"",ROUND(+VLOOKUP(A20,Tabla3[],'Registro de Operaciones'!$U$6,FALSE),2))</f>
        <v/>
      </c>
      <c r="H20" s="20" t="str">
        <f>IF(A20=0,"",VLOOKUP(+VLOOKUP(A20,Tabla3[],'Registro de Operaciones'!$I$6,FALSE),Tipo_Recibo,2,FALSE))</f>
        <v/>
      </c>
      <c r="I20" s="19" t="str">
        <f>IF(A20=0,"",+VLOOKUP(A20,Tabla3[],'Registro de Operaciones'!$J$6,FALSE))</f>
        <v/>
      </c>
      <c r="J20" s="20" t="str">
        <f t="shared" si="4"/>
        <v/>
      </c>
      <c r="K20" s="19" t="str">
        <f>IF(A20=0,"",+VLOOKUP(A20,Tabla3[],'Registro de Operaciones'!$L$6,FALSE))</f>
        <v/>
      </c>
      <c r="L20" s="20" t="str">
        <f t="shared" si="5"/>
        <v/>
      </c>
      <c r="M20" s="30" t="str">
        <f>IF(A20=0,"",+VLOOKUP(A20,Tabla3[],'Registro de Operaciones'!$E$6,FALSE))</f>
        <v/>
      </c>
      <c r="N20" s="19" t="str">
        <f t="shared" si="6"/>
        <v/>
      </c>
      <c r="Q20">
        <f t="shared" si="3"/>
        <v>0</v>
      </c>
      <c r="R20" t="s">
        <v>311</v>
      </c>
      <c r="S20" t="s">
        <v>311</v>
      </c>
      <c r="T20" t="s">
        <v>311</v>
      </c>
      <c r="U20" t="s">
        <v>311</v>
      </c>
      <c r="V20" t="s">
        <v>311</v>
      </c>
      <c r="W20" t="s">
        <v>311</v>
      </c>
      <c r="X20" t="s">
        <v>311</v>
      </c>
      <c r="Y20" t="s">
        <v>311</v>
      </c>
      <c r="Z20" t="s">
        <v>311</v>
      </c>
      <c r="AA20" t="s">
        <v>311</v>
      </c>
      <c r="AB20" t="s">
        <v>311</v>
      </c>
      <c r="AC20" t="s">
        <v>311</v>
      </c>
      <c r="AD20" t="s">
        <v>311</v>
      </c>
      <c r="AE20" t="s">
        <v>311</v>
      </c>
    </row>
    <row r="21" spans="1:31" x14ac:dyDescent="0.25">
      <c r="A21" s="29">
        <f>+BD!AE22</f>
        <v>0</v>
      </c>
      <c r="B21" s="17" t="str">
        <f>IF(A21=0,"",VLOOKUP(+VLOOKUP(A21,Tabla3[],'Registro de Operaciones'!$F$6,FALSE),DOI_Tipo,2,FALSE))</f>
        <v/>
      </c>
      <c r="C21" s="19" t="str">
        <f>IF(A21=0,"",+VLOOKUP(A21,Tabla3[#All],'Registro de Operaciones'!$G$6,FALSE))</f>
        <v/>
      </c>
      <c r="D21" s="18" t="str">
        <f>IF(A21=0,"",VLOOKUP(+VLOOKUP(A21,Tabla3[],'Registro de Operaciones'!$N$6,FALSE),Tipo_Abono,2,FALSE))</f>
        <v/>
      </c>
      <c r="E21" s="19" t="str">
        <f>IF(A21=0,"",+VLOOKUP(A21,Tabla3[],'Registro de Operaciones'!$O$6,FALSE))</f>
        <v/>
      </c>
      <c r="F21" s="19" t="str">
        <f>IF(A21=0,"",+VLOOKUP(A21,Tabla3[],'Registro de Operaciones'!$H$6,FALSE))</f>
        <v/>
      </c>
      <c r="G21" s="32" t="str">
        <f>IF(A21=0,"",ROUND(+VLOOKUP(A21,Tabla3[],'Registro de Operaciones'!$U$6,FALSE),2))</f>
        <v/>
      </c>
      <c r="H21" s="20" t="str">
        <f>IF(A21=0,"",VLOOKUP(+VLOOKUP(A21,Tabla3[],'Registro de Operaciones'!$I$6,FALSE),Tipo_Recibo,2,FALSE))</f>
        <v/>
      </c>
      <c r="I21" s="19" t="str">
        <f>IF(A21=0,"",+VLOOKUP(A21,Tabla3[],'Registro de Operaciones'!$J$6,FALSE))</f>
        <v/>
      </c>
      <c r="J21" s="20" t="str">
        <f t="shared" si="4"/>
        <v/>
      </c>
      <c r="K21" s="19" t="str">
        <f>IF(A21=0,"",+VLOOKUP(A21,Tabla3[],'Registro de Operaciones'!$L$6,FALSE))</f>
        <v/>
      </c>
      <c r="L21" s="20" t="str">
        <f t="shared" si="5"/>
        <v/>
      </c>
      <c r="M21" s="30" t="str">
        <f>IF(A21=0,"",+VLOOKUP(A21,Tabla3[],'Registro de Operaciones'!$E$6,FALSE))</f>
        <v/>
      </c>
      <c r="N21" s="19" t="str">
        <f t="shared" si="6"/>
        <v/>
      </c>
      <c r="Q21">
        <f t="shared" si="3"/>
        <v>0</v>
      </c>
      <c r="R21" t="s">
        <v>311</v>
      </c>
      <c r="S21" t="s">
        <v>311</v>
      </c>
      <c r="T21" t="s">
        <v>311</v>
      </c>
      <c r="U21" t="s">
        <v>311</v>
      </c>
      <c r="V21" t="s">
        <v>311</v>
      </c>
      <c r="W21" t="s">
        <v>311</v>
      </c>
      <c r="X21" t="s">
        <v>311</v>
      </c>
      <c r="Y21" t="s">
        <v>311</v>
      </c>
      <c r="Z21" t="s">
        <v>311</v>
      </c>
      <c r="AA21" t="s">
        <v>311</v>
      </c>
      <c r="AB21" t="s">
        <v>311</v>
      </c>
      <c r="AC21" t="s">
        <v>311</v>
      </c>
      <c r="AD21" t="s">
        <v>311</v>
      </c>
      <c r="AE21" t="s">
        <v>311</v>
      </c>
    </row>
    <row r="22" spans="1:31" x14ac:dyDescent="0.25">
      <c r="A22" s="29">
        <f>+BD!AE23</f>
        <v>0</v>
      </c>
      <c r="B22" s="17" t="str">
        <f>IF(A22=0,"",VLOOKUP(+VLOOKUP(A22,Tabla3[],'Registro de Operaciones'!$F$6,FALSE),DOI_Tipo,2,FALSE))</f>
        <v/>
      </c>
      <c r="C22" s="19" t="str">
        <f>IF(A22=0,"",+VLOOKUP(A22,Tabla3[#All],'Registro de Operaciones'!$G$6,FALSE))</f>
        <v/>
      </c>
      <c r="D22" s="18" t="str">
        <f>IF(A22=0,"",VLOOKUP(+VLOOKUP(A22,Tabla3[],'Registro de Operaciones'!$N$6,FALSE),Tipo_Abono,2,FALSE))</f>
        <v/>
      </c>
      <c r="E22" s="19" t="str">
        <f>IF(A22=0,"",+VLOOKUP(A22,Tabla3[],'Registro de Operaciones'!$O$6,FALSE))</f>
        <v/>
      </c>
      <c r="F22" s="19" t="str">
        <f>IF(A22=0,"",+VLOOKUP(A22,Tabla3[],'Registro de Operaciones'!$H$6,FALSE))</f>
        <v/>
      </c>
      <c r="G22" s="32" t="str">
        <f>IF(A22=0,"",ROUND(+VLOOKUP(A22,Tabla3[],'Registro de Operaciones'!$U$6,FALSE),2))</f>
        <v/>
      </c>
      <c r="H22" s="20" t="str">
        <f>IF(A22=0,"",VLOOKUP(+VLOOKUP(A22,Tabla3[],'Registro de Operaciones'!$I$6,FALSE),Tipo_Recibo,2,FALSE))</f>
        <v/>
      </c>
      <c r="I22" s="19" t="str">
        <f>IF(A22=0,"",+VLOOKUP(A22,Tabla3[],'Registro de Operaciones'!$J$6,FALSE))</f>
        <v/>
      </c>
      <c r="J22" s="20" t="str">
        <f t="shared" si="4"/>
        <v/>
      </c>
      <c r="K22" s="19" t="str">
        <f>IF(A22=0,"",+VLOOKUP(A22,Tabla3[],'Registro de Operaciones'!$L$6,FALSE))</f>
        <v/>
      </c>
      <c r="L22" s="20" t="str">
        <f t="shared" si="5"/>
        <v/>
      </c>
      <c r="M22" s="30" t="str">
        <f>IF(A22=0,"",+VLOOKUP(A22,Tabla3[],'Registro de Operaciones'!$E$6,FALSE))</f>
        <v/>
      </c>
      <c r="N22" s="19" t="str">
        <f t="shared" si="6"/>
        <v/>
      </c>
      <c r="Q22">
        <f t="shared" si="3"/>
        <v>0</v>
      </c>
      <c r="R22" t="s">
        <v>311</v>
      </c>
      <c r="S22" t="s">
        <v>311</v>
      </c>
      <c r="T22" t="s">
        <v>311</v>
      </c>
      <c r="U22" t="s">
        <v>311</v>
      </c>
      <c r="V22" t="s">
        <v>311</v>
      </c>
      <c r="W22" t="s">
        <v>311</v>
      </c>
      <c r="X22" t="s">
        <v>311</v>
      </c>
      <c r="Y22" t="s">
        <v>311</v>
      </c>
      <c r="Z22" t="s">
        <v>311</v>
      </c>
      <c r="AA22" t="s">
        <v>311</v>
      </c>
      <c r="AB22" t="s">
        <v>311</v>
      </c>
      <c r="AC22" t="s">
        <v>311</v>
      </c>
      <c r="AD22" t="s">
        <v>311</v>
      </c>
      <c r="AE22" t="s">
        <v>311</v>
      </c>
    </row>
    <row r="23" spans="1:31" x14ac:dyDescent="0.25">
      <c r="A23" s="29">
        <f>+BD!AE24</f>
        <v>0</v>
      </c>
      <c r="B23" s="17" t="str">
        <f>IF(A23=0,"",VLOOKUP(+VLOOKUP(A23,Tabla3[],'Registro de Operaciones'!$F$6,FALSE),DOI_Tipo,2,FALSE))</f>
        <v/>
      </c>
      <c r="C23" s="19" t="str">
        <f>IF(A23=0,"",+VLOOKUP(A23,Tabla3[#All],'Registro de Operaciones'!$G$6,FALSE))</f>
        <v/>
      </c>
      <c r="D23" s="18" t="str">
        <f>IF(A23=0,"",VLOOKUP(+VLOOKUP(A23,Tabla3[],'Registro de Operaciones'!$N$6,FALSE),Tipo_Abono,2,FALSE))</f>
        <v/>
      </c>
      <c r="E23" s="19" t="str">
        <f>IF(A23=0,"",+VLOOKUP(A23,Tabla3[],'Registro de Operaciones'!$O$6,FALSE))</f>
        <v/>
      </c>
      <c r="F23" s="19" t="str">
        <f>IF(A23=0,"",+VLOOKUP(A23,Tabla3[],'Registro de Operaciones'!$H$6,FALSE))</f>
        <v/>
      </c>
      <c r="G23" s="32" t="str">
        <f>IF(A23=0,"",ROUND(+VLOOKUP(A23,Tabla3[],'Registro de Operaciones'!$U$6,FALSE),2))</f>
        <v/>
      </c>
      <c r="H23" s="20" t="str">
        <f>IF(A23=0,"",VLOOKUP(+VLOOKUP(A23,Tabla3[],'Registro de Operaciones'!$I$6,FALSE),Tipo_Recibo,2,FALSE))</f>
        <v/>
      </c>
      <c r="I23" s="19" t="str">
        <f>IF(A23=0,"",+VLOOKUP(A23,Tabla3[],'Registro de Operaciones'!$J$6,FALSE))</f>
        <v/>
      </c>
      <c r="J23" s="20" t="str">
        <f t="shared" si="4"/>
        <v/>
      </c>
      <c r="K23" s="19" t="str">
        <f>IF(A23=0,"",+VLOOKUP(A23,Tabla3[],'Registro de Operaciones'!$L$6,FALSE))</f>
        <v/>
      </c>
      <c r="L23" s="20" t="str">
        <f t="shared" si="5"/>
        <v/>
      </c>
      <c r="M23" s="30" t="str">
        <f>IF(A23=0,"",+VLOOKUP(A23,Tabla3[],'Registro de Operaciones'!$E$6,FALSE))</f>
        <v/>
      </c>
      <c r="N23" s="19" t="str">
        <f t="shared" si="6"/>
        <v/>
      </c>
      <c r="Q23">
        <f t="shared" si="3"/>
        <v>0</v>
      </c>
      <c r="R23" t="s">
        <v>311</v>
      </c>
      <c r="S23" t="s">
        <v>311</v>
      </c>
      <c r="T23" t="s">
        <v>311</v>
      </c>
      <c r="U23" t="s">
        <v>311</v>
      </c>
      <c r="V23" t="s">
        <v>311</v>
      </c>
      <c r="W23" t="s">
        <v>311</v>
      </c>
      <c r="X23" t="s">
        <v>311</v>
      </c>
      <c r="Y23" t="s">
        <v>311</v>
      </c>
      <c r="Z23" t="s">
        <v>311</v>
      </c>
      <c r="AA23" t="s">
        <v>311</v>
      </c>
      <c r="AB23" t="s">
        <v>311</v>
      </c>
      <c r="AC23" t="s">
        <v>311</v>
      </c>
      <c r="AD23" t="s">
        <v>311</v>
      </c>
      <c r="AE23" t="s">
        <v>311</v>
      </c>
    </row>
    <row r="24" spans="1:31" x14ac:dyDescent="0.25">
      <c r="A24" s="29">
        <f>+BD!AE25</f>
        <v>0</v>
      </c>
      <c r="B24" s="17" t="str">
        <f>IF(A24=0,"",VLOOKUP(+VLOOKUP(A24,Tabla3[],'Registro de Operaciones'!$F$6,FALSE),DOI_Tipo,2,FALSE))</f>
        <v/>
      </c>
      <c r="C24" s="19" t="str">
        <f>IF(A24=0,"",+VLOOKUP(A24,Tabla3[#All],'Registro de Operaciones'!$G$6,FALSE))</f>
        <v/>
      </c>
      <c r="D24" s="18" t="str">
        <f>IF(A24=0,"",VLOOKUP(+VLOOKUP(A24,Tabla3[],'Registro de Operaciones'!$N$6,FALSE),Tipo_Abono,2,FALSE))</f>
        <v/>
      </c>
      <c r="E24" s="19" t="str">
        <f>IF(A24=0,"",+VLOOKUP(A24,Tabla3[],'Registro de Operaciones'!$O$6,FALSE))</f>
        <v/>
      </c>
      <c r="F24" s="19" t="str">
        <f>IF(A24=0,"",+VLOOKUP(A24,Tabla3[],'Registro de Operaciones'!$H$6,FALSE))</f>
        <v/>
      </c>
      <c r="G24" s="32" t="str">
        <f>IF(A24=0,"",ROUND(+VLOOKUP(A24,Tabla3[],'Registro de Operaciones'!$U$6,FALSE),2))</f>
        <v/>
      </c>
      <c r="H24" s="20" t="str">
        <f>IF(A24=0,"",VLOOKUP(+VLOOKUP(A24,Tabla3[],'Registro de Operaciones'!$I$6,FALSE),Tipo_Recibo,2,FALSE))</f>
        <v/>
      </c>
      <c r="I24" s="19" t="str">
        <f>IF(A24=0,"",+VLOOKUP(A24,Tabla3[],'Registro de Operaciones'!$J$6,FALSE))</f>
        <v/>
      </c>
      <c r="J24" s="20" t="str">
        <f t="shared" si="4"/>
        <v/>
      </c>
      <c r="K24" s="19" t="str">
        <f>IF(A24=0,"",+VLOOKUP(A24,Tabla3[],'Registro de Operaciones'!$L$6,FALSE))</f>
        <v/>
      </c>
      <c r="L24" s="20" t="str">
        <f t="shared" si="5"/>
        <v/>
      </c>
      <c r="M24" s="30" t="str">
        <f>IF(A24=0,"",+VLOOKUP(A24,Tabla3[],'Registro de Operaciones'!$E$6,FALSE))</f>
        <v/>
      </c>
      <c r="N24" s="19" t="str">
        <f t="shared" si="6"/>
        <v/>
      </c>
      <c r="Q24">
        <f t="shared" si="3"/>
        <v>0</v>
      </c>
      <c r="R24" t="s">
        <v>311</v>
      </c>
      <c r="S24" t="s">
        <v>311</v>
      </c>
      <c r="T24" t="s">
        <v>311</v>
      </c>
      <c r="U24" t="s">
        <v>311</v>
      </c>
      <c r="V24" t="s">
        <v>311</v>
      </c>
      <c r="W24" t="s">
        <v>311</v>
      </c>
      <c r="X24" t="s">
        <v>311</v>
      </c>
      <c r="Y24" t="s">
        <v>311</v>
      </c>
      <c r="Z24" t="s">
        <v>311</v>
      </c>
      <c r="AA24" t="s">
        <v>311</v>
      </c>
      <c r="AB24" t="s">
        <v>311</v>
      </c>
      <c r="AC24" t="s">
        <v>311</v>
      </c>
      <c r="AD24" t="s">
        <v>311</v>
      </c>
      <c r="AE24" t="s">
        <v>311</v>
      </c>
    </row>
    <row r="25" spans="1:31" x14ac:dyDescent="0.25">
      <c r="A25" s="29">
        <f>+BD!AE26</f>
        <v>0</v>
      </c>
      <c r="B25" s="17" t="str">
        <f>IF(A25=0,"",VLOOKUP(+VLOOKUP(A25,Tabla3[],'Registro de Operaciones'!$F$6,FALSE),DOI_Tipo,2,FALSE))</f>
        <v/>
      </c>
      <c r="C25" s="19" t="str">
        <f>IF(A25=0,"",+VLOOKUP(A25,Tabla3[#All],'Registro de Operaciones'!$G$6,FALSE))</f>
        <v/>
      </c>
      <c r="D25" s="18" t="str">
        <f>IF(A25=0,"",VLOOKUP(+VLOOKUP(A25,Tabla3[],'Registro de Operaciones'!$N$6,FALSE),Tipo_Abono,2,FALSE))</f>
        <v/>
      </c>
      <c r="E25" s="19" t="str">
        <f>IF(A25=0,"",+VLOOKUP(A25,Tabla3[],'Registro de Operaciones'!$O$6,FALSE))</f>
        <v/>
      </c>
      <c r="F25" s="19" t="str">
        <f>IF(A25=0,"",+VLOOKUP(A25,Tabla3[],'Registro de Operaciones'!$H$6,FALSE))</f>
        <v/>
      </c>
      <c r="G25" s="32" t="str">
        <f>IF(A25=0,"",ROUND(+VLOOKUP(A25,Tabla3[],'Registro de Operaciones'!$U$6,FALSE),2))</f>
        <v/>
      </c>
      <c r="H25" s="20" t="str">
        <f>IF(A25=0,"",VLOOKUP(+VLOOKUP(A25,Tabla3[],'Registro de Operaciones'!$I$6,FALSE),Tipo_Recibo,2,FALSE))</f>
        <v/>
      </c>
      <c r="I25" s="19" t="str">
        <f>IF(A25=0,"",+VLOOKUP(A25,Tabla3[],'Registro de Operaciones'!$J$6,FALSE))</f>
        <v/>
      </c>
      <c r="J25" s="20" t="str">
        <f t="shared" si="4"/>
        <v/>
      </c>
      <c r="K25" s="19" t="str">
        <f>IF(A25=0,"",+VLOOKUP(A25,Tabla3[],'Registro de Operaciones'!$L$6,FALSE))</f>
        <v/>
      </c>
      <c r="L25" s="20" t="str">
        <f t="shared" si="5"/>
        <v/>
      </c>
      <c r="M25" s="30" t="str">
        <f>IF(A25=0,"",+VLOOKUP(A25,Tabla3[],'Registro de Operaciones'!$E$6,FALSE))</f>
        <v/>
      </c>
      <c r="N25" s="19" t="str">
        <f t="shared" si="6"/>
        <v/>
      </c>
      <c r="Q25">
        <f t="shared" si="3"/>
        <v>0</v>
      </c>
      <c r="R25" t="s">
        <v>311</v>
      </c>
      <c r="S25" t="s">
        <v>311</v>
      </c>
      <c r="T25" t="s">
        <v>311</v>
      </c>
      <c r="U25" t="s">
        <v>311</v>
      </c>
      <c r="V25" t="s">
        <v>311</v>
      </c>
      <c r="W25" t="s">
        <v>311</v>
      </c>
      <c r="X25" t="s">
        <v>311</v>
      </c>
      <c r="Y25" t="s">
        <v>311</v>
      </c>
      <c r="Z25" t="s">
        <v>311</v>
      </c>
      <c r="AA25" t="s">
        <v>311</v>
      </c>
      <c r="AB25" t="s">
        <v>311</v>
      </c>
      <c r="AC25" t="s">
        <v>311</v>
      </c>
      <c r="AD25" t="s">
        <v>311</v>
      </c>
      <c r="AE25" t="s">
        <v>311</v>
      </c>
    </row>
    <row r="26" spans="1:31" x14ac:dyDescent="0.25">
      <c r="A26" s="29">
        <f>+BD!AE27</f>
        <v>0</v>
      </c>
      <c r="B26" s="17" t="str">
        <f>IF(A26=0,"",VLOOKUP(+VLOOKUP(A26,Tabla3[],'Registro de Operaciones'!$F$6,FALSE),DOI_Tipo,2,FALSE))</f>
        <v/>
      </c>
      <c r="C26" s="19" t="str">
        <f>IF(A26=0,"",+VLOOKUP(A26,Tabla3[#All],'Registro de Operaciones'!$G$6,FALSE))</f>
        <v/>
      </c>
      <c r="D26" s="18" t="str">
        <f>IF(A26=0,"",VLOOKUP(+VLOOKUP(A26,Tabla3[],'Registro de Operaciones'!$N$6,FALSE),Tipo_Abono,2,FALSE))</f>
        <v/>
      </c>
      <c r="E26" s="19" t="str">
        <f>IF(A26=0,"",+VLOOKUP(A26,Tabla3[],'Registro de Operaciones'!$O$6,FALSE))</f>
        <v/>
      </c>
      <c r="F26" s="19" t="str">
        <f>IF(A26=0,"",+VLOOKUP(A26,Tabla3[],'Registro de Operaciones'!$H$6,FALSE))</f>
        <v/>
      </c>
      <c r="G26" s="32" t="str">
        <f>IF(A26=0,"",ROUND(+VLOOKUP(A26,Tabla3[],'Registro de Operaciones'!$U$6,FALSE),2))</f>
        <v/>
      </c>
      <c r="H26" s="20" t="str">
        <f>IF(A26=0,"",VLOOKUP(+VLOOKUP(A26,Tabla3[],'Registro de Operaciones'!$I$6,FALSE),Tipo_Recibo,2,FALSE))</f>
        <v/>
      </c>
      <c r="I26" s="19" t="str">
        <f>IF(A26=0,"",+VLOOKUP(A26,Tabla3[],'Registro de Operaciones'!$J$6,FALSE))</f>
        <v/>
      </c>
      <c r="J26" s="20" t="str">
        <f t="shared" si="4"/>
        <v/>
      </c>
      <c r="K26" s="19" t="str">
        <f>IF(A26=0,"",+VLOOKUP(A26,Tabla3[],'Registro de Operaciones'!$L$6,FALSE))</f>
        <v/>
      </c>
      <c r="L26" s="20" t="str">
        <f t="shared" si="5"/>
        <v/>
      </c>
      <c r="M26" s="30" t="str">
        <f>IF(A26=0,"",+VLOOKUP(A26,Tabla3[],'Registro de Operaciones'!$E$6,FALSE))</f>
        <v/>
      </c>
      <c r="N26" s="19" t="str">
        <f t="shared" si="6"/>
        <v/>
      </c>
      <c r="Q26">
        <f t="shared" si="3"/>
        <v>0</v>
      </c>
      <c r="R26" t="s">
        <v>311</v>
      </c>
      <c r="S26" t="s">
        <v>311</v>
      </c>
      <c r="T26" t="s">
        <v>311</v>
      </c>
      <c r="U26" t="s">
        <v>311</v>
      </c>
      <c r="V26" t="s">
        <v>311</v>
      </c>
      <c r="W26" t="s">
        <v>311</v>
      </c>
      <c r="X26" t="s">
        <v>311</v>
      </c>
      <c r="Y26" t="s">
        <v>311</v>
      </c>
      <c r="Z26" t="s">
        <v>311</v>
      </c>
      <c r="AA26" t="s">
        <v>311</v>
      </c>
      <c r="AB26" t="s">
        <v>311</v>
      </c>
      <c r="AC26" t="s">
        <v>311</v>
      </c>
      <c r="AD26" t="s">
        <v>311</v>
      </c>
      <c r="AE26" t="s">
        <v>311</v>
      </c>
    </row>
    <row r="27" spans="1:31" x14ac:dyDescent="0.25">
      <c r="A27" s="29">
        <f>+BD!AE28</f>
        <v>0</v>
      </c>
      <c r="B27" s="17" t="str">
        <f>IF(A27=0,"",VLOOKUP(+VLOOKUP(A27,Tabla3[],'Registro de Operaciones'!$F$6,FALSE),DOI_Tipo,2,FALSE))</f>
        <v/>
      </c>
      <c r="C27" s="19" t="str">
        <f>IF(A27=0,"",+VLOOKUP(A27,Tabla3[#All],'Registro de Operaciones'!$G$6,FALSE))</f>
        <v/>
      </c>
      <c r="D27" s="18" t="str">
        <f>IF(A27=0,"",VLOOKUP(+VLOOKUP(A27,Tabla3[],'Registro de Operaciones'!$N$6,FALSE),Tipo_Abono,2,FALSE))</f>
        <v/>
      </c>
      <c r="E27" s="19" t="str">
        <f>IF(A27=0,"",+VLOOKUP(A27,Tabla3[],'Registro de Operaciones'!$O$6,FALSE))</f>
        <v/>
      </c>
      <c r="F27" s="19" t="str">
        <f>IF(A27=0,"",+VLOOKUP(A27,Tabla3[],'Registro de Operaciones'!$H$6,FALSE))</f>
        <v/>
      </c>
      <c r="G27" s="32" t="str">
        <f>IF(A27=0,"",ROUND(+VLOOKUP(A27,Tabla3[],'Registro de Operaciones'!$U$6,FALSE),2))</f>
        <v/>
      </c>
      <c r="H27" s="20" t="str">
        <f>IF(A27=0,"",VLOOKUP(+VLOOKUP(A27,Tabla3[],'Registro de Operaciones'!$I$6,FALSE),Tipo_Recibo,2,FALSE))</f>
        <v/>
      </c>
      <c r="I27" s="19" t="str">
        <f>IF(A27=0,"",+VLOOKUP(A27,Tabla3[],'Registro de Operaciones'!$J$6,FALSE))</f>
        <v/>
      </c>
      <c r="J27" s="20" t="str">
        <f t="shared" si="4"/>
        <v/>
      </c>
      <c r="K27" s="19" t="str">
        <f>IF(A27=0,"",+VLOOKUP(A27,Tabla3[],'Registro de Operaciones'!$L$6,FALSE))</f>
        <v/>
      </c>
      <c r="L27" s="20" t="str">
        <f t="shared" si="5"/>
        <v/>
      </c>
      <c r="M27" s="30" t="str">
        <f>IF(A27=0,"",+VLOOKUP(A27,Tabla3[],'Registro de Operaciones'!$E$6,FALSE))</f>
        <v/>
      </c>
      <c r="N27" s="19" t="str">
        <f t="shared" si="6"/>
        <v/>
      </c>
      <c r="Q27">
        <f t="shared" si="3"/>
        <v>0</v>
      </c>
      <c r="R27" t="s">
        <v>311</v>
      </c>
      <c r="S27" t="s">
        <v>311</v>
      </c>
      <c r="T27" t="s">
        <v>311</v>
      </c>
      <c r="U27" t="s">
        <v>311</v>
      </c>
      <c r="V27" t="s">
        <v>311</v>
      </c>
      <c r="W27" t="s">
        <v>311</v>
      </c>
      <c r="X27" t="s">
        <v>311</v>
      </c>
      <c r="Y27" t="s">
        <v>311</v>
      </c>
      <c r="Z27" t="s">
        <v>311</v>
      </c>
      <c r="AA27" t="s">
        <v>311</v>
      </c>
      <c r="AB27" t="s">
        <v>311</v>
      </c>
      <c r="AC27" t="s">
        <v>311</v>
      </c>
      <c r="AD27" t="s">
        <v>311</v>
      </c>
      <c r="AE27" t="s">
        <v>311</v>
      </c>
    </row>
    <row r="28" spans="1:31" x14ac:dyDescent="0.25">
      <c r="A28" s="29">
        <f>+BD!AE29</f>
        <v>0</v>
      </c>
      <c r="B28" s="17" t="str">
        <f>IF(A28=0,"",VLOOKUP(+VLOOKUP(A28,Tabla3[],'Registro de Operaciones'!$F$6,FALSE),DOI_Tipo,2,FALSE))</f>
        <v/>
      </c>
      <c r="C28" s="19" t="str">
        <f>IF(A28=0,"",+VLOOKUP(A28,Tabla3[#All],'Registro de Operaciones'!$G$6,FALSE))</f>
        <v/>
      </c>
      <c r="D28" s="18" t="str">
        <f>IF(A28=0,"",VLOOKUP(+VLOOKUP(A28,Tabla3[],'Registro de Operaciones'!$N$6,FALSE),Tipo_Abono,2,FALSE))</f>
        <v/>
      </c>
      <c r="E28" s="19" t="str">
        <f>IF(A28=0,"",+VLOOKUP(A28,Tabla3[],'Registro de Operaciones'!$O$6,FALSE))</f>
        <v/>
      </c>
      <c r="F28" s="19" t="str">
        <f>IF(A28=0,"",+VLOOKUP(A28,Tabla3[],'Registro de Operaciones'!$H$6,FALSE))</f>
        <v/>
      </c>
      <c r="G28" s="32" t="str">
        <f>IF(A28=0,"",ROUND(+VLOOKUP(A28,Tabla3[],'Registro de Operaciones'!$U$6,FALSE),2))</f>
        <v/>
      </c>
      <c r="H28" s="20" t="str">
        <f>IF(A28=0,"",VLOOKUP(+VLOOKUP(A28,Tabla3[],'Registro de Operaciones'!$I$6,FALSE),Tipo_Recibo,2,FALSE))</f>
        <v/>
      </c>
      <c r="I28" s="19" t="str">
        <f>IF(A28=0,"",+VLOOKUP(A28,Tabla3[],'Registro de Operaciones'!$J$6,FALSE))</f>
        <v/>
      </c>
      <c r="J28" s="20" t="str">
        <f t="shared" si="4"/>
        <v/>
      </c>
      <c r="K28" s="19" t="str">
        <f>IF(A28=0,"",+VLOOKUP(A28,Tabla3[],'Registro de Operaciones'!$L$6,FALSE))</f>
        <v/>
      </c>
      <c r="L28" s="20" t="str">
        <f t="shared" si="5"/>
        <v/>
      </c>
      <c r="M28" s="30" t="str">
        <f>IF(A28=0,"",+VLOOKUP(A28,Tabla3[],'Registro de Operaciones'!$E$6,FALSE))</f>
        <v/>
      </c>
      <c r="N28" s="19" t="str">
        <f t="shared" si="6"/>
        <v/>
      </c>
      <c r="Q28">
        <f t="shared" si="3"/>
        <v>0</v>
      </c>
      <c r="R28" t="s">
        <v>311</v>
      </c>
      <c r="S28" t="s">
        <v>311</v>
      </c>
      <c r="T28" t="s">
        <v>311</v>
      </c>
      <c r="U28" t="s">
        <v>311</v>
      </c>
      <c r="V28" t="s">
        <v>311</v>
      </c>
      <c r="W28" t="s">
        <v>311</v>
      </c>
      <c r="X28" t="s">
        <v>311</v>
      </c>
      <c r="Y28" t="s">
        <v>311</v>
      </c>
      <c r="Z28" t="s">
        <v>311</v>
      </c>
      <c r="AA28" t="s">
        <v>311</v>
      </c>
      <c r="AB28" t="s">
        <v>311</v>
      </c>
      <c r="AC28" t="s">
        <v>311</v>
      </c>
      <c r="AD28" t="s">
        <v>311</v>
      </c>
      <c r="AE28" t="s">
        <v>311</v>
      </c>
    </row>
    <row r="29" spans="1:31" x14ac:dyDescent="0.25">
      <c r="A29" s="29">
        <f>+BD!AE30</f>
        <v>0</v>
      </c>
      <c r="B29" s="17" t="str">
        <f>IF(A29=0,"",VLOOKUP(+VLOOKUP(A29,Tabla3[],'Registro de Operaciones'!$F$6,FALSE),DOI_Tipo,2,FALSE))</f>
        <v/>
      </c>
      <c r="C29" s="19" t="str">
        <f>IF(A29=0,"",+VLOOKUP(A29,Tabla3[#All],'Registro de Operaciones'!$G$6,FALSE))</f>
        <v/>
      </c>
      <c r="D29" s="18" t="str">
        <f>IF(A29=0,"",VLOOKUP(+VLOOKUP(A29,Tabla3[],'Registro de Operaciones'!$N$6,FALSE),Tipo_Abono,2,FALSE))</f>
        <v/>
      </c>
      <c r="E29" s="19" t="str">
        <f>IF(A29=0,"",+VLOOKUP(A29,Tabla3[],'Registro de Operaciones'!$O$6,FALSE))</f>
        <v/>
      </c>
      <c r="F29" s="19" t="str">
        <f>IF(A29=0,"",+VLOOKUP(A29,Tabla3[],'Registro de Operaciones'!$H$6,FALSE))</f>
        <v/>
      </c>
      <c r="G29" s="32" t="str">
        <f>IF(A29=0,"",ROUND(+VLOOKUP(A29,Tabla3[],'Registro de Operaciones'!$U$6,FALSE),2))</f>
        <v/>
      </c>
      <c r="H29" s="20" t="str">
        <f>IF(A29=0,"",VLOOKUP(+VLOOKUP(A29,Tabla3[],'Registro de Operaciones'!$I$6,FALSE),Tipo_Recibo,2,FALSE))</f>
        <v/>
      </c>
      <c r="I29" s="19" t="str">
        <f>IF(A29=0,"",+VLOOKUP(A29,Tabla3[],'Registro de Operaciones'!$J$6,FALSE))</f>
        <v/>
      </c>
      <c r="J29" s="20" t="str">
        <f t="shared" si="4"/>
        <v/>
      </c>
      <c r="K29" s="19" t="str">
        <f>IF(A29=0,"",+VLOOKUP(A29,Tabla3[],'Registro de Operaciones'!$L$6,FALSE))</f>
        <v/>
      </c>
      <c r="L29" s="20" t="str">
        <f t="shared" si="5"/>
        <v/>
      </c>
      <c r="M29" s="30" t="str">
        <f>IF(A29=0,"",+VLOOKUP(A29,Tabla3[],'Registro de Operaciones'!$E$6,FALSE))</f>
        <v/>
      </c>
      <c r="N29" s="19" t="str">
        <f t="shared" si="6"/>
        <v/>
      </c>
      <c r="Q29">
        <f t="shared" si="3"/>
        <v>0</v>
      </c>
      <c r="R29" t="s">
        <v>311</v>
      </c>
      <c r="S29" t="s">
        <v>311</v>
      </c>
      <c r="T29" t="s">
        <v>311</v>
      </c>
      <c r="U29" t="s">
        <v>311</v>
      </c>
      <c r="V29" t="s">
        <v>311</v>
      </c>
      <c r="W29" t="s">
        <v>311</v>
      </c>
      <c r="X29" t="s">
        <v>311</v>
      </c>
      <c r="Y29" t="s">
        <v>311</v>
      </c>
      <c r="Z29" t="s">
        <v>311</v>
      </c>
      <c r="AA29" t="s">
        <v>311</v>
      </c>
      <c r="AB29" t="s">
        <v>311</v>
      </c>
      <c r="AC29" t="s">
        <v>311</v>
      </c>
      <c r="AD29" t="s">
        <v>311</v>
      </c>
      <c r="AE29" t="s">
        <v>311</v>
      </c>
    </row>
    <row r="30" spans="1:31" x14ac:dyDescent="0.25">
      <c r="A30" s="29">
        <f>+BD!AE31</f>
        <v>0</v>
      </c>
      <c r="B30" s="17" t="str">
        <f>IF(A30=0,"",VLOOKUP(+VLOOKUP(A30,Tabla3[],'Registro de Operaciones'!$F$6,FALSE),DOI_Tipo,2,FALSE))</f>
        <v/>
      </c>
      <c r="C30" s="19" t="str">
        <f>IF(A30=0,"",+VLOOKUP(A30,Tabla3[#All],'Registro de Operaciones'!$G$6,FALSE))</f>
        <v/>
      </c>
      <c r="D30" s="18" t="str">
        <f>IF(A30=0,"",VLOOKUP(+VLOOKUP(A30,Tabla3[],'Registro de Operaciones'!$N$6,FALSE),Tipo_Abono,2,FALSE))</f>
        <v/>
      </c>
      <c r="E30" s="19" t="str">
        <f>IF(A30=0,"",+VLOOKUP(A30,Tabla3[],'Registro de Operaciones'!$O$6,FALSE))</f>
        <v/>
      </c>
      <c r="F30" s="19" t="str">
        <f>IF(A30=0,"",+VLOOKUP(A30,Tabla3[],'Registro de Operaciones'!$H$6,FALSE))</f>
        <v/>
      </c>
      <c r="G30" s="32" t="str">
        <f>IF(A30=0,"",ROUND(+VLOOKUP(A30,Tabla3[],'Registro de Operaciones'!$U$6,FALSE),2))</f>
        <v/>
      </c>
      <c r="H30" s="20" t="str">
        <f>IF(A30=0,"",VLOOKUP(+VLOOKUP(A30,Tabla3[],'Registro de Operaciones'!$I$6,FALSE),Tipo_Recibo,2,FALSE))</f>
        <v/>
      </c>
      <c r="I30" s="19" t="str">
        <f>IF(A30=0,"",+VLOOKUP(A30,Tabla3[],'Registro de Operaciones'!$J$6,FALSE))</f>
        <v/>
      </c>
      <c r="J30" s="20" t="str">
        <f t="shared" si="4"/>
        <v/>
      </c>
      <c r="K30" s="19" t="str">
        <f>IF(A30=0,"",+VLOOKUP(A30,Tabla3[],'Registro de Operaciones'!$L$6,FALSE))</f>
        <v/>
      </c>
      <c r="L30" s="20" t="str">
        <f t="shared" si="5"/>
        <v/>
      </c>
      <c r="M30" s="30" t="str">
        <f>IF(A30=0,"",+VLOOKUP(A30,Tabla3[],'Registro de Operaciones'!$E$6,FALSE))</f>
        <v/>
      </c>
      <c r="N30" s="19" t="str">
        <f t="shared" si="6"/>
        <v/>
      </c>
      <c r="Q30">
        <f t="shared" si="3"/>
        <v>0</v>
      </c>
      <c r="R30" t="s">
        <v>311</v>
      </c>
      <c r="S30" t="s">
        <v>311</v>
      </c>
      <c r="T30" t="s">
        <v>311</v>
      </c>
      <c r="U30" t="s">
        <v>311</v>
      </c>
      <c r="V30" t="s">
        <v>311</v>
      </c>
      <c r="W30" t="s">
        <v>311</v>
      </c>
      <c r="X30" t="s">
        <v>311</v>
      </c>
      <c r="Y30" t="s">
        <v>311</v>
      </c>
      <c r="Z30" t="s">
        <v>311</v>
      </c>
      <c r="AA30" t="s">
        <v>311</v>
      </c>
      <c r="AB30" t="s">
        <v>311</v>
      </c>
      <c r="AC30" t="s">
        <v>311</v>
      </c>
      <c r="AD30" t="s">
        <v>311</v>
      </c>
      <c r="AE30" t="s">
        <v>311</v>
      </c>
    </row>
    <row r="31" spans="1:31" x14ac:dyDescent="0.25">
      <c r="A31" s="29">
        <f>+BD!AE32</f>
        <v>0</v>
      </c>
      <c r="B31" s="17" t="str">
        <f>IF(A31=0,"",VLOOKUP(+VLOOKUP(A31,Tabla3[],'Registro de Operaciones'!$F$6,FALSE),DOI_Tipo,2,FALSE))</f>
        <v/>
      </c>
      <c r="C31" s="19" t="str">
        <f>IF(A31=0,"",+VLOOKUP(A31,Tabla3[#All],'Registro de Operaciones'!$G$6,FALSE))</f>
        <v/>
      </c>
      <c r="D31" s="18" t="str">
        <f>IF(A31=0,"",VLOOKUP(+VLOOKUP(A31,Tabla3[],'Registro de Operaciones'!$N$6,FALSE),Tipo_Abono,2,FALSE))</f>
        <v/>
      </c>
      <c r="E31" s="19" t="str">
        <f>IF(A31=0,"",+VLOOKUP(A31,Tabla3[],'Registro de Operaciones'!$O$6,FALSE))</f>
        <v/>
      </c>
      <c r="F31" s="19" t="str">
        <f>IF(A31=0,"",+VLOOKUP(A31,Tabla3[],'Registro de Operaciones'!$H$6,FALSE))</f>
        <v/>
      </c>
      <c r="G31" s="32" t="str">
        <f>IF(A31=0,"",ROUND(+VLOOKUP(A31,Tabla3[],'Registro de Operaciones'!$U$6,FALSE),2))</f>
        <v/>
      </c>
      <c r="H31" s="20" t="str">
        <f>IF(A31=0,"",VLOOKUP(+VLOOKUP(A31,Tabla3[],'Registro de Operaciones'!$I$6,FALSE),Tipo_Recibo,2,FALSE))</f>
        <v/>
      </c>
      <c r="I31" s="19" t="str">
        <f>IF(A31=0,"",+VLOOKUP(A31,Tabla3[],'Registro de Operaciones'!$J$6,FALSE))</f>
        <v/>
      </c>
      <c r="J31" s="20" t="str">
        <f t="shared" si="4"/>
        <v/>
      </c>
      <c r="K31" s="19" t="str">
        <f>IF(A31=0,"",+VLOOKUP(A31,Tabla3[],'Registro de Operaciones'!$L$6,FALSE))</f>
        <v/>
      </c>
      <c r="L31" s="20" t="str">
        <f t="shared" si="5"/>
        <v/>
      </c>
      <c r="M31" s="30" t="str">
        <f>IF(A31=0,"",+VLOOKUP(A31,Tabla3[],'Registro de Operaciones'!$E$6,FALSE))</f>
        <v/>
      </c>
      <c r="N31" s="19" t="str">
        <f t="shared" si="6"/>
        <v/>
      </c>
      <c r="Q31">
        <f t="shared" si="3"/>
        <v>0</v>
      </c>
      <c r="R31" t="s">
        <v>311</v>
      </c>
      <c r="S31" t="s">
        <v>311</v>
      </c>
      <c r="T31" t="s">
        <v>311</v>
      </c>
      <c r="U31" t="s">
        <v>311</v>
      </c>
      <c r="V31" t="s">
        <v>311</v>
      </c>
      <c r="W31" t="s">
        <v>311</v>
      </c>
      <c r="X31" t="s">
        <v>311</v>
      </c>
      <c r="Y31" t="s">
        <v>311</v>
      </c>
      <c r="Z31" t="s">
        <v>311</v>
      </c>
      <c r="AA31" t="s">
        <v>311</v>
      </c>
      <c r="AB31" t="s">
        <v>311</v>
      </c>
      <c r="AC31" t="s">
        <v>311</v>
      </c>
      <c r="AD31" t="s">
        <v>311</v>
      </c>
      <c r="AE31" t="s">
        <v>311</v>
      </c>
    </row>
    <row r="32" spans="1:31" x14ac:dyDescent="0.25">
      <c r="A32" s="29">
        <f>+BD!AE33</f>
        <v>0</v>
      </c>
      <c r="B32" s="17" t="str">
        <f>IF(A32=0,"",VLOOKUP(+VLOOKUP(A32,Tabla3[],'Registro de Operaciones'!$F$6,FALSE),DOI_Tipo,2,FALSE))</f>
        <v/>
      </c>
      <c r="C32" s="19" t="str">
        <f>IF(A32=0,"",+VLOOKUP(A32,Tabla3[#All],'Registro de Operaciones'!$G$6,FALSE))</f>
        <v/>
      </c>
      <c r="D32" s="18" t="str">
        <f>IF(A32=0,"",VLOOKUP(+VLOOKUP(A32,Tabla3[],'Registro de Operaciones'!$N$6,FALSE),Tipo_Abono,2,FALSE))</f>
        <v/>
      </c>
      <c r="E32" s="19" t="str">
        <f>IF(A32=0,"",+VLOOKUP(A32,Tabla3[],'Registro de Operaciones'!$O$6,FALSE))</f>
        <v/>
      </c>
      <c r="F32" s="19" t="str">
        <f>IF(A32=0,"",+VLOOKUP(A32,Tabla3[],'Registro de Operaciones'!$H$6,FALSE))</f>
        <v/>
      </c>
      <c r="G32" s="32" t="str">
        <f>IF(A32=0,"",ROUND(+VLOOKUP(A32,Tabla3[],'Registro de Operaciones'!$U$6,FALSE),2))</f>
        <v/>
      </c>
      <c r="H32" s="20" t="str">
        <f>IF(A32=0,"",VLOOKUP(+VLOOKUP(A32,Tabla3[],'Registro de Operaciones'!$I$6,FALSE),Tipo_Recibo,2,FALSE))</f>
        <v/>
      </c>
      <c r="I32" s="19" t="str">
        <f>IF(A32=0,"",+VLOOKUP(A32,Tabla3[],'Registro de Operaciones'!$J$6,FALSE))</f>
        <v/>
      </c>
      <c r="J32" s="20" t="str">
        <f t="shared" si="4"/>
        <v/>
      </c>
      <c r="K32" s="19" t="str">
        <f>IF(A32=0,"",+VLOOKUP(A32,Tabla3[],'Registro de Operaciones'!$L$6,FALSE))</f>
        <v/>
      </c>
      <c r="L32" s="20" t="str">
        <f t="shared" si="5"/>
        <v/>
      </c>
      <c r="M32" s="30" t="str">
        <f>IF(A32=0,"",+VLOOKUP(A32,Tabla3[],'Registro de Operaciones'!$E$6,FALSE))</f>
        <v/>
      </c>
      <c r="N32" s="19" t="str">
        <f t="shared" si="6"/>
        <v/>
      </c>
      <c r="Q32">
        <f t="shared" si="3"/>
        <v>0</v>
      </c>
      <c r="R32" t="s">
        <v>311</v>
      </c>
      <c r="S32" t="s">
        <v>311</v>
      </c>
      <c r="T32" t="s">
        <v>311</v>
      </c>
      <c r="U32" t="s">
        <v>311</v>
      </c>
      <c r="V32" t="s">
        <v>311</v>
      </c>
      <c r="W32" t="s">
        <v>311</v>
      </c>
      <c r="X32" t="s">
        <v>311</v>
      </c>
      <c r="Y32" t="s">
        <v>311</v>
      </c>
      <c r="Z32" t="s">
        <v>311</v>
      </c>
      <c r="AA32" t="s">
        <v>311</v>
      </c>
      <c r="AB32" t="s">
        <v>311</v>
      </c>
      <c r="AC32" t="s">
        <v>311</v>
      </c>
      <c r="AD32" t="s">
        <v>311</v>
      </c>
      <c r="AE32" t="s">
        <v>311</v>
      </c>
    </row>
    <row r="33" spans="1:31" x14ac:dyDescent="0.25">
      <c r="A33" s="29">
        <f>+BD!AE34</f>
        <v>0</v>
      </c>
      <c r="B33" s="17" t="str">
        <f>IF(A33=0,"",VLOOKUP(+VLOOKUP(A33,Tabla3[],'Registro de Operaciones'!$F$6,FALSE),DOI_Tipo,2,FALSE))</f>
        <v/>
      </c>
      <c r="C33" s="19" t="str">
        <f>IF(A33=0,"",+VLOOKUP(A33,Tabla3[#All],'Registro de Operaciones'!$G$6,FALSE))</f>
        <v/>
      </c>
      <c r="D33" s="18" t="str">
        <f>IF(A33=0,"",VLOOKUP(+VLOOKUP(A33,Tabla3[],'Registro de Operaciones'!$N$6,FALSE),Tipo_Abono,2,FALSE))</f>
        <v/>
      </c>
      <c r="E33" s="19" t="str">
        <f>IF(A33=0,"",+VLOOKUP(A33,Tabla3[],'Registro de Operaciones'!$O$6,FALSE))</f>
        <v/>
      </c>
      <c r="F33" s="19" t="str">
        <f>IF(A33=0,"",+VLOOKUP(A33,Tabla3[],'Registro de Operaciones'!$H$6,FALSE))</f>
        <v/>
      </c>
      <c r="G33" s="32" t="str">
        <f>IF(A33=0,"",ROUND(+VLOOKUP(A33,Tabla3[],'Registro de Operaciones'!$U$6,FALSE),2))</f>
        <v/>
      </c>
      <c r="H33" s="20" t="str">
        <f>IF(A33=0,"",VLOOKUP(+VLOOKUP(A33,Tabla3[],'Registro de Operaciones'!$I$6,FALSE),Tipo_Recibo,2,FALSE))</f>
        <v/>
      </c>
      <c r="I33" s="19" t="str">
        <f>IF(A33=0,"",+VLOOKUP(A33,Tabla3[],'Registro de Operaciones'!$J$6,FALSE))</f>
        <v/>
      </c>
      <c r="J33" s="20" t="str">
        <f t="shared" si="4"/>
        <v/>
      </c>
      <c r="K33" s="19" t="str">
        <f>IF(A33=0,"",+VLOOKUP(A33,Tabla3[],'Registro de Operaciones'!$L$6,FALSE))</f>
        <v/>
      </c>
      <c r="L33" s="20" t="str">
        <f t="shared" si="5"/>
        <v/>
      </c>
      <c r="M33" s="30" t="str">
        <f>IF(A33=0,"",+VLOOKUP(A33,Tabla3[],'Registro de Operaciones'!$E$6,FALSE))</f>
        <v/>
      </c>
      <c r="N33" s="19" t="str">
        <f t="shared" si="6"/>
        <v/>
      </c>
      <c r="Q33">
        <f t="shared" si="3"/>
        <v>0</v>
      </c>
      <c r="R33" t="s">
        <v>311</v>
      </c>
      <c r="S33" t="s">
        <v>311</v>
      </c>
      <c r="T33" t="s">
        <v>311</v>
      </c>
      <c r="U33" t="s">
        <v>311</v>
      </c>
      <c r="V33" t="s">
        <v>311</v>
      </c>
      <c r="W33" t="s">
        <v>311</v>
      </c>
      <c r="X33" t="s">
        <v>311</v>
      </c>
      <c r="Y33" t="s">
        <v>311</v>
      </c>
      <c r="Z33" t="s">
        <v>311</v>
      </c>
      <c r="AA33" t="s">
        <v>311</v>
      </c>
      <c r="AB33" t="s">
        <v>311</v>
      </c>
      <c r="AC33" t="s">
        <v>311</v>
      </c>
      <c r="AD33" t="s">
        <v>311</v>
      </c>
      <c r="AE33" t="s">
        <v>311</v>
      </c>
    </row>
    <row r="34" spans="1:31" x14ac:dyDescent="0.25">
      <c r="A34" s="29">
        <f>+BD!AE35</f>
        <v>0</v>
      </c>
      <c r="B34" s="17" t="str">
        <f>IF(A34=0,"",VLOOKUP(+VLOOKUP(A34,Tabla3[],'Registro de Operaciones'!$F$6,FALSE),DOI_Tipo,2,FALSE))</f>
        <v/>
      </c>
      <c r="C34" s="19" t="str">
        <f>IF(A34=0,"",+VLOOKUP(A34,Tabla3[#All],'Registro de Operaciones'!$G$6,FALSE))</f>
        <v/>
      </c>
      <c r="D34" s="18" t="str">
        <f>IF(A34=0,"",VLOOKUP(+VLOOKUP(A34,Tabla3[],'Registro de Operaciones'!$N$6,FALSE),Tipo_Abono,2,FALSE))</f>
        <v/>
      </c>
      <c r="E34" s="19" t="str">
        <f>IF(A34=0,"",+VLOOKUP(A34,Tabla3[],'Registro de Operaciones'!$O$6,FALSE))</f>
        <v/>
      </c>
      <c r="F34" s="19" t="str">
        <f>IF(A34=0,"",+VLOOKUP(A34,Tabla3[],'Registro de Operaciones'!$H$6,FALSE))</f>
        <v/>
      </c>
      <c r="G34" s="32" t="str">
        <f>IF(A34=0,"",ROUND(+VLOOKUP(A34,Tabla3[],'Registro de Operaciones'!$U$6,FALSE),2))</f>
        <v/>
      </c>
      <c r="H34" s="20" t="str">
        <f>IF(A34=0,"",VLOOKUP(+VLOOKUP(A34,Tabla3[],'Registro de Operaciones'!$I$6,FALSE),Tipo_Recibo,2,FALSE))</f>
        <v/>
      </c>
      <c r="I34" s="19" t="str">
        <f>IF(A34=0,"",+VLOOKUP(A34,Tabla3[],'Registro de Operaciones'!$J$6,FALSE))</f>
        <v/>
      </c>
      <c r="J34" s="20" t="str">
        <f t="shared" si="4"/>
        <v/>
      </c>
      <c r="K34" s="19" t="str">
        <f>IF(A34=0,"",+VLOOKUP(A34,Tabla3[],'Registro de Operaciones'!$L$6,FALSE))</f>
        <v/>
      </c>
      <c r="L34" s="20" t="str">
        <f t="shared" si="5"/>
        <v/>
      </c>
      <c r="M34" s="30" t="str">
        <f>IF(A34=0,"",+VLOOKUP(A34,Tabla3[],'Registro de Operaciones'!$E$6,FALSE))</f>
        <v/>
      </c>
      <c r="N34" s="19" t="str">
        <f t="shared" si="6"/>
        <v/>
      </c>
      <c r="Q34">
        <f t="shared" si="3"/>
        <v>0</v>
      </c>
      <c r="R34" t="s">
        <v>311</v>
      </c>
      <c r="S34" t="s">
        <v>311</v>
      </c>
      <c r="T34" t="s">
        <v>311</v>
      </c>
      <c r="U34" t="s">
        <v>311</v>
      </c>
      <c r="V34" t="s">
        <v>311</v>
      </c>
      <c r="W34" t="s">
        <v>311</v>
      </c>
      <c r="X34" t="s">
        <v>311</v>
      </c>
      <c r="Y34" t="s">
        <v>311</v>
      </c>
      <c r="Z34" t="s">
        <v>311</v>
      </c>
      <c r="AA34" t="s">
        <v>311</v>
      </c>
      <c r="AB34" t="s">
        <v>311</v>
      </c>
      <c r="AC34" t="s">
        <v>311</v>
      </c>
      <c r="AD34" t="s">
        <v>311</v>
      </c>
      <c r="AE34" t="s">
        <v>311</v>
      </c>
    </row>
    <row r="35" spans="1:31" x14ac:dyDescent="0.25">
      <c r="A35" s="29">
        <f>+BD!AE36</f>
        <v>0</v>
      </c>
      <c r="B35" s="17" t="str">
        <f>IF(A35=0,"",VLOOKUP(+VLOOKUP(A35,Tabla3[],'Registro de Operaciones'!$F$6,FALSE),DOI_Tipo,2,FALSE))</f>
        <v/>
      </c>
      <c r="C35" s="19" t="str">
        <f>IF(A35=0,"",+VLOOKUP(A35,Tabla3[#All],'Registro de Operaciones'!$G$6,FALSE))</f>
        <v/>
      </c>
      <c r="D35" s="18" t="str">
        <f>IF(A35=0,"",VLOOKUP(+VLOOKUP(A35,Tabla3[],'Registro de Operaciones'!$N$6,FALSE),Tipo_Abono,2,FALSE))</f>
        <v/>
      </c>
      <c r="E35" s="19" t="str">
        <f>IF(A35=0,"",+VLOOKUP(A35,Tabla3[],'Registro de Operaciones'!$O$6,FALSE))</f>
        <v/>
      </c>
      <c r="F35" s="19" t="str">
        <f>IF(A35=0,"",+VLOOKUP(A35,Tabla3[],'Registro de Operaciones'!$H$6,FALSE))</f>
        <v/>
      </c>
      <c r="G35" s="32" t="str">
        <f>IF(A35=0,"",ROUND(+VLOOKUP(A35,Tabla3[],'Registro de Operaciones'!$U$6,FALSE),2))</f>
        <v/>
      </c>
      <c r="H35" s="20" t="str">
        <f>IF(A35=0,"",VLOOKUP(+VLOOKUP(A35,Tabla3[],'Registro de Operaciones'!$I$6,FALSE),Tipo_Recibo,2,FALSE))</f>
        <v/>
      </c>
      <c r="I35" s="19" t="str">
        <f>IF(A35=0,"",+VLOOKUP(A35,Tabla3[],'Registro de Operaciones'!$J$6,FALSE))</f>
        <v/>
      </c>
      <c r="J35" s="20" t="str">
        <f t="shared" si="4"/>
        <v/>
      </c>
      <c r="K35" s="19" t="str">
        <f>IF(A35=0,"",+VLOOKUP(A35,Tabla3[],'Registro de Operaciones'!$L$6,FALSE))</f>
        <v/>
      </c>
      <c r="L35" s="20" t="str">
        <f t="shared" si="5"/>
        <v/>
      </c>
      <c r="M35" s="30" t="str">
        <f>IF(A35=0,"",+VLOOKUP(A35,Tabla3[],'Registro de Operaciones'!$E$6,FALSE))</f>
        <v/>
      </c>
      <c r="N35" s="19" t="str">
        <f t="shared" si="6"/>
        <v/>
      </c>
      <c r="Q35">
        <f t="shared" si="3"/>
        <v>0</v>
      </c>
      <c r="R35" t="s">
        <v>311</v>
      </c>
      <c r="S35" t="s">
        <v>311</v>
      </c>
      <c r="T35" t="s">
        <v>311</v>
      </c>
      <c r="U35" t="s">
        <v>311</v>
      </c>
      <c r="V35" t="s">
        <v>311</v>
      </c>
      <c r="W35" t="s">
        <v>311</v>
      </c>
      <c r="X35" t="s">
        <v>311</v>
      </c>
      <c r="Y35" t="s">
        <v>311</v>
      </c>
      <c r="Z35" t="s">
        <v>311</v>
      </c>
      <c r="AA35" t="s">
        <v>311</v>
      </c>
      <c r="AB35" t="s">
        <v>311</v>
      </c>
      <c r="AC35" t="s">
        <v>311</v>
      </c>
      <c r="AD35" t="s">
        <v>311</v>
      </c>
      <c r="AE35" t="s">
        <v>311</v>
      </c>
    </row>
    <row r="36" spans="1:31" x14ac:dyDescent="0.25">
      <c r="A36" s="29">
        <f>+BD!AE37</f>
        <v>0</v>
      </c>
      <c r="B36" s="17" t="str">
        <f>IF(A36=0,"",VLOOKUP(+VLOOKUP(A36,Tabla3[],'Registro de Operaciones'!$F$6,FALSE),DOI_Tipo,2,FALSE))</f>
        <v/>
      </c>
      <c r="C36" s="19" t="str">
        <f>IF(A36=0,"",+VLOOKUP(A36,Tabla3[#All],'Registro de Operaciones'!$G$6,FALSE))</f>
        <v/>
      </c>
      <c r="D36" s="18" t="str">
        <f>IF(A36=0,"",VLOOKUP(+VLOOKUP(A36,Tabla3[],'Registro de Operaciones'!$N$6,FALSE),Tipo_Abono,2,FALSE))</f>
        <v/>
      </c>
      <c r="E36" s="19" t="str">
        <f>IF(A36=0,"",+VLOOKUP(A36,Tabla3[],'Registro de Operaciones'!$O$6,FALSE))</f>
        <v/>
      </c>
      <c r="F36" s="19" t="str">
        <f>IF(A36=0,"",+VLOOKUP(A36,Tabla3[],'Registro de Operaciones'!$H$6,FALSE))</f>
        <v/>
      </c>
      <c r="G36" s="32" t="str">
        <f>IF(A36=0,"",ROUND(+VLOOKUP(A36,Tabla3[],'Registro de Operaciones'!$U$6,FALSE),2))</f>
        <v/>
      </c>
      <c r="H36" s="20" t="str">
        <f>IF(A36=0,"",VLOOKUP(+VLOOKUP(A36,Tabla3[],'Registro de Operaciones'!$I$6,FALSE),Tipo_Recibo,2,FALSE))</f>
        <v/>
      </c>
      <c r="I36" s="19" t="str">
        <f>IF(A36=0,"",+VLOOKUP(A36,Tabla3[],'Registro de Operaciones'!$J$6,FALSE))</f>
        <v/>
      </c>
      <c r="J36" s="20" t="str">
        <f t="shared" si="4"/>
        <v/>
      </c>
      <c r="K36" s="19" t="str">
        <f>IF(A36=0,"",+VLOOKUP(A36,Tabla3[],'Registro de Operaciones'!$L$6,FALSE))</f>
        <v/>
      </c>
      <c r="L36" s="20" t="str">
        <f t="shared" si="5"/>
        <v/>
      </c>
      <c r="M36" s="30" t="str">
        <f>IF(A36=0,"",+VLOOKUP(A36,Tabla3[],'Registro de Operaciones'!$E$6,FALSE))</f>
        <v/>
      </c>
      <c r="N36" s="19" t="str">
        <f t="shared" si="6"/>
        <v/>
      </c>
      <c r="Q36">
        <f t="shared" si="3"/>
        <v>0</v>
      </c>
      <c r="R36" t="s">
        <v>311</v>
      </c>
      <c r="S36" t="s">
        <v>311</v>
      </c>
      <c r="T36" t="s">
        <v>311</v>
      </c>
      <c r="U36" t="s">
        <v>311</v>
      </c>
      <c r="V36" t="s">
        <v>311</v>
      </c>
      <c r="W36" t="s">
        <v>311</v>
      </c>
      <c r="X36" t="s">
        <v>311</v>
      </c>
      <c r="Y36" t="s">
        <v>311</v>
      </c>
      <c r="Z36" t="s">
        <v>311</v>
      </c>
      <c r="AA36" t="s">
        <v>311</v>
      </c>
      <c r="AB36" t="s">
        <v>311</v>
      </c>
      <c r="AC36" t="s">
        <v>311</v>
      </c>
      <c r="AD36" t="s">
        <v>311</v>
      </c>
      <c r="AE36" t="s">
        <v>311</v>
      </c>
    </row>
    <row r="37" spans="1:31" x14ac:dyDescent="0.25">
      <c r="A37" s="29">
        <f>+BD!AE38</f>
        <v>0</v>
      </c>
      <c r="B37" s="17" t="str">
        <f>IF(A37=0,"",VLOOKUP(+VLOOKUP(A37,Tabla3[],'Registro de Operaciones'!$F$6,FALSE),DOI_Tipo,2,FALSE))</f>
        <v/>
      </c>
      <c r="C37" s="19" t="str">
        <f>IF(A37=0,"",+VLOOKUP(A37,Tabla3[#All],'Registro de Operaciones'!$G$6,FALSE))</f>
        <v/>
      </c>
      <c r="D37" s="18" t="str">
        <f>IF(A37=0,"",VLOOKUP(+VLOOKUP(A37,Tabla3[],'Registro de Operaciones'!$N$6,FALSE),Tipo_Abono,2,FALSE))</f>
        <v/>
      </c>
      <c r="E37" s="19" t="str">
        <f>IF(A37=0,"",+VLOOKUP(A37,Tabla3[],'Registro de Operaciones'!$O$6,FALSE))</f>
        <v/>
      </c>
      <c r="F37" s="19" t="str">
        <f>IF(A37=0,"",+VLOOKUP(A37,Tabla3[],'Registro de Operaciones'!$H$6,FALSE))</f>
        <v/>
      </c>
      <c r="G37" s="32" t="str">
        <f>IF(A37=0,"",ROUND(+VLOOKUP(A37,Tabla3[],'Registro de Operaciones'!$U$6,FALSE),2))</f>
        <v/>
      </c>
      <c r="H37" s="20" t="str">
        <f>IF(A37=0,"",VLOOKUP(+VLOOKUP(A37,Tabla3[],'Registro de Operaciones'!$I$6,FALSE),Tipo_Recibo,2,FALSE))</f>
        <v/>
      </c>
      <c r="I37" s="19" t="str">
        <f>IF(A37=0,"",+VLOOKUP(A37,Tabla3[],'Registro de Operaciones'!$J$6,FALSE))</f>
        <v/>
      </c>
      <c r="J37" s="20" t="str">
        <f t="shared" si="4"/>
        <v/>
      </c>
      <c r="K37" s="19" t="str">
        <f>IF(A37=0,"",+VLOOKUP(A37,Tabla3[],'Registro de Operaciones'!$L$6,FALSE))</f>
        <v/>
      </c>
      <c r="L37" s="20" t="str">
        <f t="shared" si="5"/>
        <v/>
      </c>
      <c r="M37" s="30" t="str">
        <f>IF(A37=0,"",+VLOOKUP(A37,Tabla3[],'Registro de Operaciones'!$E$6,FALSE))</f>
        <v/>
      </c>
      <c r="N37" s="19" t="str">
        <f t="shared" si="6"/>
        <v/>
      </c>
      <c r="Q37">
        <f t="shared" si="3"/>
        <v>0</v>
      </c>
      <c r="R37" t="s">
        <v>311</v>
      </c>
      <c r="S37" t="s">
        <v>311</v>
      </c>
      <c r="T37" t="s">
        <v>311</v>
      </c>
      <c r="U37" t="s">
        <v>311</v>
      </c>
      <c r="V37" t="s">
        <v>311</v>
      </c>
      <c r="W37" t="s">
        <v>311</v>
      </c>
      <c r="X37" t="s">
        <v>311</v>
      </c>
      <c r="Y37" t="s">
        <v>311</v>
      </c>
      <c r="Z37" t="s">
        <v>311</v>
      </c>
      <c r="AA37" t="s">
        <v>311</v>
      </c>
      <c r="AB37" t="s">
        <v>311</v>
      </c>
      <c r="AC37" t="s">
        <v>311</v>
      </c>
      <c r="AD37" t="s">
        <v>311</v>
      </c>
      <c r="AE37" t="s">
        <v>311</v>
      </c>
    </row>
    <row r="38" spans="1:31" x14ac:dyDescent="0.25">
      <c r="A38" s="29">
        <f>+BD!AE39</f>
        <v>0</v>
      </c>
      <c r="B38" s="17" t="str">
        <f>IF(A38=0,"",VLOOKUP(+VLOOKUP(A38,Tabla3[],'Registro de Operaciones'!$F$6,FALSE),DOI_Tipo,2,FALSE))</f>
        <v/>
      </c>
      <c r="C38" s="19" t="str">
        <f>IF(A38=0,"",+VLOOKUP(A38,Tabla3[#All],'Registro de Operaciones'!$G$6,FALSE))</f>
        <v/>
      </c>
      <c r="D38" s="18" t="str">
        <f>IF(A38=0,"",VLOOKUP(+VLOOKUP(A38,Tabla3[],'Registro de Operaciones'!$N$6,FALSE),Tipo_Abono,2,FALSE))</f>
        <v/>
      </c>
      <c r="E38" s="19" t="str">
        <f>IF(A38=0,"",+VLOOKUP(A38,Tabla3[],'Registro de Operaciones'!$O$6,FALSE))</f>
        <v/>
      </c>
      <c r="F38" s="19" t="str">
        <f>IF(A38=0,"",+VLOOKUP(A38,Tabla3[],'Registro de Operaciones'!$H$6,FALSE))</f>
        <v/>
      </c>
      <c r="G38" s="32" t="str">
        <f>IF(A38=0,"",ROUND(+VLOOKUP(A38,Tabla3[],'Registro de Operaciones'!$U$6,FALSE),2))</f>
        <v/>
      </c>
      <c r="H38" s="20" t="str">
        <f>IF(A38=0,"",VLOOKUP(+VLOOKUP(A38,Tabla3[],'Registro de Operaciones'!$I$6,FALSE),Tipo_Recibo,2,FALSE))</f>
        <v/>
      </c>
      <c r="I38" s="19" t="str">
        <f>IF(A38=0,"",+VLOOKUP(A38,Tabla3[],'Registro de Operaciones'!$J$6,FALSE))</f>
        <v/>
      </c>
      <c r="J38" s="20" t="str">
        <f t="shared" si="4"/>
        <v/>
      </c>
      <c r="K38" s="19" t="str">
        <f>IF(A38=0,"",+VLOOKUP(A38,Tabla3[],'Registro de Operaciones'!$L$6,FALSE))</f>
        <v/>
      </c>
      <c r="L38" s="20" t="str">
        <f t="shared" si="5"/>
        <v/>
      </c>
      <c r="M38" s="30" t="str">
        <f>IF(A38=0,"",+VLOOKUP(A38,Tabla3[],'Registro de Operaciones'!$E$6,FALSE))</f>
        <v/>
      </c>
      <c r="N38" s="19" t="str">
        <f t="shared" si="6"/>
        <v/>
      </c>
      <c r="Q38">
        <f t="shared" si="3"/>
        <v>0</v>
      </c>
      <c r="R38" t="s">
        <v>311</v>
      </c>
      <c r="S38" t="s">
        <v>311</v>
      </c>
      <c r="T38" t="s">
        <v>311</v>
      </c>
      <c r="U38" t="s">
        <v>311</v>
      </c>
      <c r="V38" t="s">
        <v>311</v>
      </c>
      <c r="W38" t="s">
        <v>311</v>
      </c>
      <c r="X38" t="s">
        <v>311</v>
      </c>
      <c r="Y38" t="s">
        <v>311</v>
      </c>
      <c r="Z38" t="s">
        <v>311</v>
      </c>
      <c r="AA38" t="s">
        <v>311</v>
      </c>
      <c r="AB38" t="s">
        <v>311</v>
      </c>
      <c r="AC38" t="s">
        <v>311</v>
      </c>
      <c r="AD38" t="s">
        <v>311</v>
      </c>
      <c r="AE38" t="s">
        <v>311</v>
      </c>
    </row>
    <row r="39" spans="1:31" x14ac:dyDescent="0.25">
      <c r="A39" s="29">
        <f>+BD!AE40</f>
        <v>0</v>
      </c>
      <c r="B39" s="17" t="str">
        <f>IF(A39=0,"",VLOOKUP(+VLOOKUP(A39,Tabla3[],'Registro de Operaciones'!$F$6,FALSE),DOI_Tipo,2,FALSE))</f>
        <v/>
      </c>
      <c r="C39" s="19" t="str">
        <f>IF(A39=0,"",+VLOOKUP(A39,Tabla3[#All],'Registro de Operaciones'!$G$6,FALSE))</f>
        <v/>
      </c>
      <c r="D39" s="18" t="str">
        <f>IF(A39=0,"",VLOOKUP(+VLOOKUP(A39,Tabla3[],'Registro de Operaciones'!$N$6,FALSE),Tipo_Abono,2,FALSE))</f>
        <v/>
      </c>
      <c r="E39" s="19" t="str">
        <f>IF(A39=0,"",+VLOOKUP(A39,Tabla3[],'Registro de Operaciones'!$O$6,FALSE))</f>
        <v/>
      </c>
      <c r="F39" s="19" t="str">
        <f>IF(A39=0,"",+VLOOKUP(A39,Tabla3[],'Registro de Operaciones'!$H$6,FALSE))</f>
        <v/>
      </c>
      <c r="G39" s="32" t="str">
        <f>IF(A39=0,"",ROUND(+VLOOKUP(A39,Tabla3[],'Registro de Operaciones'!$U$6,FALSE),2))</f>
        <v/>
      </c>
      <c r="H39" s="20" t="str">
        <f>IF(A39=0,"",VLOOKUP(+VLOOKUP(A39,Tabla3[],'Registro de Operaciones'!$I$6,FALSE),Tipo_Recibo,2,FALSE))</f>
        <v/>
      </c>
      <c r="I39" s="19" t="str">
        <f>IF(A39=0,"",+VLOOKUP(A39,Tabla3[],'Registro de Operaciones'!$J$6,FALSE))</f>
        <v/>
      </c>
      <c r="J39" s="20" t="str">
        <f t="shared" si="4"/>
        <v/>
      </c>
      <c r="K39" s="19" t="str">
        <f>IF(A39=0,"",+VLOOKUP(A39,Tabla3[],'Registro de Operaciones'!$L$6,FALSE))</f>
        <v/>
      </c>
      <c r="L39" s="20" t="str">
        <f t="shared" si="5"/>
        <v/>
      </c>
      <c r="M39" s="30" t="str">
        <f>IF(A39=0,"",+VLOOKUP(A39,Tabla3[],'Registro de Operaciones'!$E$6,FALSE))</f>
        <v/>
      </c>
      <c r="N39" s="19" t="str">
        <f t="shared" si="6"/>
        <v/>
      </c>
      <c r="Q39">
        <f t="shared" si="3"/>
        <v>0</v>
      </c>
      <c r="R39" s="65" t="s">
        <v>311</v>
      </c>
      <c r="S39" s="65" t="s">
        <v>311</v>
      </c>
      <c r="T39" t="s">
        <v>311</v>
      </c>
      <c r="U39" t="s">
        <v>311</v>
      </c>
      <c r="V39" t="s">
        <v>311</v>
      </c>
      <c r="W39" t="s">
        <v>311</v>
      </c>
      <c r="X39" t="s">
        <v>311</v>
      </c>
      <c r="Y39" t="s">
        <v>311</v>
      </c>
      <c r="Z39" t="s">
        <v>311</v>
      </c>
      <c r="AA39" t="s">
        <v>311</v>
      </c>
      <c r="AB39" t="s">
        <v>311</v>
      </c>
      <c r="AC39" t="s">
        <v>311</v>
      </c>
      <c r="AD39" t="s">
        <v>311</v>
      </c>
      <c r="AE39" t="s">
        <v>311</v>
      </c>
    </row>
    <row r="40" spans="1:31" x14ac:dyDescent="0.25">
      <c r="Q40">
        <f t="shared" si="3"/>
        <v>0</v>
      </c>
      <c r="R40" s="65"/>
      <c r="S40" s="65"/>
    </row>
    <row r="41" spans="1:31" x14ac:dyDescent="0.25">
      <c r="Q41">
        <f t="shared" si="3"/>
        <v>0</v>
      </c>
    </row>
    <row r="42" spans="1:31" x14ac:dyDescent="0.25">
      <c r="Q42">
        <f t="shared" si="3"/>
        <v>0</v>
      </c>
    </row>
    <row r="43" spans="1:31" x14ac:dyDescent="0.25">
      <c r="Q43">
        <f t="shared" si="3"/>
        <v>0</v>
      </c>
    </row>
    <row r="44" spans="1:31" x14ac:dyDescent="0.25">
      <c r="Q44">
        <f t="shared" si="3"/>
        <v>0</v>
      </c>
    </row>
    <row r="45" spans="1:31" x14ac:dyDescent="0.25">
      <c r="Q45">
        <f t="shared" si="3"/>
        <v>0</v>
      </c>
    </row>
    <row r="46" spans="1:31" x14ac:dyDescent="0.25">
      <c r="Q46">
        <f t="shared" si="3"/>
        <v>0</v>
      </c>
    </row>
    <row r="47" spans="1:31" x14ac:dyDescent="0.25">
      <c r="Q47">
        <f t="shared" si="3"/>
        <v>0</v>
      </c>
    </row>
    <row r="48" spans="1:31" x14ac:dyDescent="0.25">
      <c r="Q48">
        <f t="shared" si="3"/>
        <v>0</v>
      </c>
    </row>
    <row r="49" spans="17:17" x14ac:dyDescent="0.25">
      <c r="Q49">
        <f t="shared" si="3"/>
        <v>0</v>
      </c>
    </row>
    <row r="50" spans="17:17" x14ac:dyDescent="0.25">
      <c r="Q50">
        <f t="shared" si="3"/>
        <v>0</v>
      </c>
    </row>
    <row r="51" spans="17:17" x14ac:dyDescent="0.25">
      <c r="Q51">
        <f t="shared" si="3"/>
        <v>0</v>
      </c>
    </row>
    <row r="52" spans="17:17" x14ac:dyDescent="0.25">
      <c r="Q52">
        <f t="shared" si="3"/>
        <v>0</v>
      </c>
    </row>
    <row r="53" spans="17:17" x14ac:dyDescent="0.25">
      <c r="Q53">
        <f t="shared" si="3"/>
        <v>0</v>
      </c>
    </row>
  </sheetData>
  <hyperlinks>
    <hyperlink ref="M4" r:id="rId1" display="recepciondefacturas@uma.edu.pe" xr:uid="{419EDEF3-EAEC-4884-9222-55D545E724E7}"/>
    <hyperlink ref="M5:M39" r:id="rId2" display="recepciondefacturas@uma.edu.pe" xr:uid="{92101735-195A-4764-919A-78E7FB91540E}"/>
  </hyperlink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61ED-81C6-4A2E-83D2-08B40A74E7E6}">
  <sheetPr codeName="Hoja5"/>
  <dimension ref="A1:N43"/>
  <sheetViews>
    <sheetView workbookViewId="0">
      <selection activeCell="A21" sqref="A21:XFD21"/>
    </sheetView>
  </sheetViews>
  <sheetFormatPr baseColWidth="10" defaultRowHeight="15" x14ac:dyDescent="0.25"/>
  <cols>
    <col min="1" max="1" width="18.7109375" bestFit="1" customWidth="1"/>
    <col min="2" max="2" width="7.7109375" bestFit="1" customWidth="1"/>
    <col min="3" max="3" width="12" bestFit="1" customWidth="1"/>
    <col min="4" max="4" width="10" bestFit="1" customWidth="1"/>
    <col min="5" max="5" width="21.28515625" bestFit="1" customWidth="1"/>
    <col min="6" max="6" width="30.85546875" bestFit="1" customWidth="1"/>
    <col min="7" max="7" width="14.7109375" bestFit="1" customWidth="1"/>
    <col min="8" max="8" width="10.42578125" bestFit="1" customWidth="1"/>
    <col min="9" max="9" width="12.5703125" bestFit="1" customWidth="1"/>
    <col min="10" max="10" width="14.28515625" bestFit="1" customWidth="1"/>
    <col min="11" max="11" width="41.42578125" customWidth="1"/>
    <col min="12" max="12" width="13.42578125" bestFit="1" customWidth="1"/>
    <col min="13" max="13" width="33.140625" bestFit="1" customWidth="1"/>
    <col min="14" max="14" width="15.5703125" bestFit="1" customWidth="1"/>
  </cols>
  <sheetData>
    <row r="1" spans="1:14" ht="26.25" x14ac:dyDescent="0.4">
      <c r="A1" s="31" t="s">
        <v>22</v>
      </c>
      <c r="G1" s="16"/>
    </row>
    <row r="2" spans="1:14" ht="15.75" thickBot="1" x14ac:dyDescent="0.3">
      <c r="A2" s="29"/>
      <c r="G2" s="16"/>
    </row>
    <row r="3" spans="1:14" x14ac:dyDescent="0.25">
      <c r="A3" s="77" t="s">
        <v>240</v>
      </c>
      <c r="B3" s="78" t="s">
        <v>241</v>
      </c>
      <c r="C3" s="78" t="s">
        <v>242</v>
      </c>
      <c r="D3" s="78" t="s">
        <v>243</v>
      </c>
      <c r="E3" s="78" t="s">
        <v>244</v>
      </c>
      <c r="F3" s="78" t="s">
        <v>245</v>
      </c>
      <c r="G3" s="79" t="s">
        <v>246</v>
      </c>
      <c r="H3" s="78" t="s">
        <v>247</v>
      </c>
      <c r="I3" s="78" t="s">
        <v>248</v>
      </c>
      <c r="J3" s="78" t="s">
        <v>249</v>
      </c>
      <c r="K3" s="78" t="s">
        <v>250</v>
      </c>
      <c r="L3" s="78" t="s">
        <v>251</v>
      </c>
      <c r="M3" s="78" t="s">
        <v>252</v>
      </c>
      <c r="N3" s="78" t="s">
        <v>253</v>
      </c>
    </row>
    <row r="4" spans="1:14" x14ac:dyDescent="0.25">
      <c r="A4" s="29">
        <f>+BD!AH5</f>
        <v>5</v>
      </c>
      <c r="B4" s="17" t="str">
        <f>IF(A4=0,"",VLOOKUP(+VLOOKUP(A4,Tabla3[],'Registro de Operaciones'!$F$6,FALSE),DOI_Tipo,2,FALSE))</f>
        <v>R</v>
      </c>
      <c r="C4" s="19" t="str">
        <f>IF(A4=0,"",+VLOOKUP(A4,Tabla3[#All],'Registro de Operaciones'!$G$6,FALSE))</f>
        <v>10400912829</v>
      </c>
      <c r="D4" s="18" t="str">
        <f>IF(A4=0,"",VLOOKUP(+VLOOKUP(A4,Tabla3[],'Registro de Operaciones'!$N$6,FALSE),Tipo_Abono,2,FALSE))</f>
        <v>I</v>
      </c>
      <c r="E4" s="19" t="str">
        <f>IF(A4=0,"",+VLOOKUP(A4,Tabla3[],'Registro de Operaciones'!$O$6,FALSE))</f>
        <v>00219311887695002412</v>
      </c>
      <c r="F4" s="19" t="str">
        <f>IF(A4=0,"",+VLOOKUP(A4,Tabla3[],'Registro de Operaciones'!$H$6,FALSE))</f>
        <v>MORE IMAN HUGO</v>
      </c>
      <c r="G4" s="32">
        <f>IF(A4=0,"",ROUND(+VLOOKUP(A4,Tabla3[],'Registro de Operaciones'!$X$6,FALSE),2))</f>
        <v>2720.6</v>
      </c>
      <c r="H4" s="20" t="str">
        <f>IF(A4=0,"",VLOOKUP(+VLOOKUP(A4,Tabla3[],'Registro de Operaciones'!$I$6,FALSE),Tipo_Recibo,2,FALSE))</f>
        <v>F</v>
      </c>
      <c r="I4" s="19" t="str">
        <f>IF(A4=0,"",+VLOOKUP(A4,Tabla3[],'Registro de Operaciones'!$J$6,FALSE))</f>
        <v>E001-509</v>
      </c>
      <c r="J4" s="20" t="str">
        <f>+IF(A4&gt;0,"N","")</f>
        <v>N</v>
      </c>
      <c r="K4" s="19" t="str">
        <f>IF(A4=0,"",+VLOOKUP(A4,Tabla3[],'Registro de Operaciones'!$L$6,FALSE))</f>
        <v>CPSERVICIO DE SUMINISTRO FABRICACION Y PINTADO AL HORNO DE MESAS CANADIENSES.</v>
      </c>
      <c r="L4" s="20" t="str">
        <f>+IF(A4&gt;0,"E","")</f>
        <v>E</v>
      </c>
      <c r="M4" s="88" t="str">
        <f>IF(A4=0,"",+VLOOKUP(A4,Tabla3[],'Registro de Operaciones'!$E$6,FALSE))</f>
        <v>RAFAEL.LANDAURO@UMA.EDU.PE</v>
      </c>
      <c r="N4" s="19" t="str">
        <f>+IF(A4&gt;0,"Nayrut Flores","")</f>
        <v>Nayrut Flores</v>
      </c>
    </row>
    <row r="5" spans="1:14" x14ac:dyDescent="0.25">
      <c r="A5" s="29">
        <f>+BD!AH6</f>
        <v>12</v>
      </c>
      <c r="B5" s="17" t="str">
        <f>IF(A5=0,"",VLOOKUP(+VLOOKUP(A5,Tabla3[],'Registro de Operaciones'!$F$6,FALSE),DOI_Tipo,2,FALSE))</f>
        <v>R</v>
      </c>
      <c r="C5" s="19" t="str">
        <f>IF(A5=0,"",+VLOOKUP(A5,Tabla3[#All],'Registro de Operaciones'!$G$6,FALSE))</f>
        <v>10441671518</v>
      </c>
      <c r="D5" s="18" t="str">
        <f>IF(A5=0,"",VLOOKUP(+VLOOKUP(A5,Tabla3[],'Registro de Operaciones'!$N$6,FALSE),Tipo_Abono,2,FALSE))</f>
        <v>I</v>
      </c>
      <c r="E5" s="19" t="str">
        <f>IF(A5=0,"",+VLOOKUP(A5,Tabla3[],'Registro de Operaciones'!$O$6,FALSE))</f>
        <v>00988520885018826258</v>
      </c>
      <c r="F5" s="19" t="str">
        <f>IF(A5=0,"",+VLOOKUP(A5,Tabla3[],'Registro de Operaciones'!$H$6,FALSE))</f>
        <v>BRAVO ESPINOZA NANCY GLADYS</v>
      </c>
      <c r="G5" s="32">
        <f>IF(A5=0,"",ROUND(+VLOOKUP(A5,Tabla3[],'Registro de Operaciones'!$X$6,FALSE),2))</f>
        <v>478.7</v>
      </c>
      <c r="H5" s="20" t="str">
        <f>IF(A5=0,"",VLOOKUP(+VLOOKUP(A5,Tabla3[],'Registro de Operaciones'!$I$6,FALSE),Tipo_Recibo,2,FALSE))</f>
        <v>F</v>
      </c>
      <c r="I5" s="19" t="str">
        <f>IF(A5=0,"",+VLOOKUP(A5,Tabla3[],'Registro de Operaciones'!$J$6,FALSE))</f>
        <v>E001-155</v>
      </c>
      <c r="J5" s="20" t="str">
        <f t="shared" ref="J5:J20" si="0">+IF(A5&gt;0,"N","")</f>
        <v>N</v>
      </c>
      <c r="K5" s="19" t="str">
        <f>IF(A5=0,"",+VLOOKUP(A5,Tabla3[],'Registro de Operaciones'!$L$6,FALSE))</f>
        <v xml:space="preserve">IMPRESIONES Y COPIAS VARIOS </v>
      </c>
      <c r="L5" s="20" t="str">
        <f t="shared" ref="L5:L20" si="1">+IF(A5&gt;0,"E","")</f>
        <v>E</v>
      </c>
      <c r="M5" s="88" t="str">
        <f>IF(A5=0,"",+VLOOKUP(A5,Tabla3[],'Registro de Operaciones'!$E$6,FALSE))</f>
        <v>RAFAEL.LANDAURO@UMA.EDU.PE</v>
      </c>
      <c r="N5" s="19" t="str">
        <f t="shared" ref="N5:N20" si="2">+IF(A5&gt;0,"Nayrut Flores","")</f>
        <v>Nayrut Flores</v>
      </c>
    </row>
    <row r="6" spans="1:14" x14ac:dyDescent="0.25">
      <c r="A6" s="29">
        <f>+BD!AH7</f>
        <v>0</v>
      </c>
      <c r="B6" s="17" t="str">
        <f>IF(A6=0,"",VLOOKUP(+VLOOKUP(A6,Tabla3[],'Registro de Operaciones'!$F$6,FALSE),DOI_Tipo,2,FALSE))</f>
        <v/>
      </c>
      <c r="C6" s="19" t="str">
        <f>IF(A6=0,"",+VLOOKUP(A6,Tabla3[#All],'Registro de Operaciones'!$G$6,FALSE))</f>
        <v/>
      </c>
      <c r="D6" s="18" t="str">
        <f>IF(A6=0,"",VLOOKUP(+VLOOKUP(A6,Tabla3[],'Registro de Operaciones'!$N$6,FALSE),Tipo_Abono,2,FALSE))</f>
        <v/>
      </c>
      <c r="E6" s="19" t="str">
        <f>IF(A6=0,"",+VLOOKUP(A6,Tabla3[],'Registro de Operaciones'!$O$6,FALSE))</f>
        <v/>
      </c>
      <c r="F6" s="19" t="str">
        <f>IF(A6=0,"",+VLOOKUP(A6,Tabla3[],'Registro de Operaciones'!$H$6,FALSE))</f>
        <v/>
      </c>
      <c r="G6" s="32" t="str">
        <f>IF(A6=0,"",ROUND(+VLOOKUP(A6,Tabla3[],'Registro de Operaciones'!$X$6,FALSE),2))</f>
        <v/>
      </c>
      <c r="H6" s="20" t="str">
        <f>IF(A6=0,"",VLOOKUP(+VLOOKUP(A6,Tabla3[],'Registro de Operaciones'!$I$6,FALSE),Tipo_Recibo,2,FALSE))</f>
        <v/>
      </c>
      <c r="I6" s="19" t="str">
        <f>IF(A6=0,"",+VLOOKUP(A6,Tabla3[],'Registro de Operaciones'!$J$6,FALSE))</f>
        <v/>
      </c>
      <c r="J6" s="20" t="str">
        <f t="shared" si="0"/>
        <v/>
      </c>
      <c r="K6" s="19" t="str">
        <f>IF(A6=0,"",+VLOOKUP(A6,Tabla3[],'Registro de Operaciones'!$L$6,FALSE))</f>
        <v/>
      </c>
      <c r="L6" s="20" t="str">
        <f t="shared" si="1"/>
        <v/>
      </c>
      <c r="M6" s="88" t="str">
        <f>IF(A6=0,"",+VLOOKUP(A6,Tabla3[],'Registro de Operaciones'!$E$6,FALSE))</f>
        <v/>
      </c>
      <c r="N6" s="19" t="str">
        <f t="shared" si="2"/>
        <v/>
      </c>
    </row>
    <row r="7" spans="1:14" x14ac:dyDescent="0.25">
      <c r="A7" s="29">
        <f>+BD!AH8</f>
        <v>0</v>
      </c>
      <c r="B7" s="17" t="str">
        <f>IF(A7=0,"",VLOOKUP(+VLOOKUP(A7,Tabla3[],'Registro de Operaciones'!$F$6,FALSE),DOI_Tipo,2,FALSE))</f>
        <v/>
      </c>
      <c r="C7" s="19" t="str">
        <f>IF(A7=0,"",+VLOOKUP(A7,Tabla3[#All],'Registro de Operaciones'!$G$6,FALSE))</f>
        <v/>
      </c>
      <c r="D7" s="18" t="str">
        <f>IF(A7=0,"",VLOOKUP(+VLOOKUP(A7,Tabla3[],'Registro de Operaciones'!$N$6,FALSE),Tipo_Abono,2,FALSE))</f>
        <v/>
      </c>
      <c r="E7" s="19" t="str">
        <f>IF(A7=0,"",+VLOOKUP(A7,Tabla3[],'Registro de Operaciones'!$O$6,FALSE))</f>
        <v/>
      </c>
      <c r="F7" s="19" t="str">
        <f>IF(A7=0,"",+VLOOKUP(A7,Tabla3[],'Registro de Operaciones'!$H$6,FALSE))</f>
        <v/>
      </c>
      <c r="G7" s="32" t="str">
        <f>IF(A7=0,"",ROUND(+VLOOKUP(A7,Tabla3[],'Registro de Operaciones'!$X$6,FALSE),2))</f>
        <v/>
      </c>
      <c r="H7" s="20" t="str">
        <f>IF(A7=0,"",VLOOKUP(+VLOOKUP(A7,Tabla3[],'Registro de Operaciones'!$I$6,FALSE),Tipo_Recibo,2,FALSE))</f>
        <v/>
      </c>
      <c r="I7" s="19" t="str">
        <f>IF(A7=0,"",+VLOOKUP(A7,Tabla3[],'Registro de Operaciones'!$J$6,FALSE))</f>
        <v/>
      </c>
      <c r="J7" s="20" t="str">
        <f t="shared" si="0"/>
        <v/>
      </c>
      <c r="K7" s="19" t="str">
        <f>IF(A7=0,"",+VLOOKUP(A7,Tabla3[],'Registro de Operaciones'!$L$6,FALSE))</f>
        <v/>
      </c>
      <c r="L7" s="20" t="str">
        <f t="shared" si="1"/>
        <v/>
      </c>
      <c r="M7" s="88" t="str">
        <f>IF(A7=0,"",+VLOOKUP(A7,Tabla3[],'Registro de Operaciones'!$E$6,FALSE))</f>
        <v/>
      </c>
      <c r="N7" s="19" t="str">
        <f t="shared" si="2"/>
        <v/>
      </c>
    </row>
    <row r="8" spans="1:14" x14ac:dyDescent="0.25">
      <c r="A8" s="29">
        <f>+BD!AH9</f>
        <v>0</v>
      </c>
      <c r="B8" s="17" t="str">
        <f>IF(A8=0,"",VLOOKUP(+VLOOKUP(A8,Tabla3[],'Registro de Operaciones'!$F$6,FALSE),DOI_Tipo,2,FALSE))</f>
        <v/>
      </c>
      <c r="C8" s="19" t="str">
        <f>IF(A8=0,"",+VLOOKUP(A8,Tabla3[#All],'Registro de Operaciones'!$G$6,FALSE))</f>
        <v/>
      </c>
      <c r="D8" s="18" t="str">
        <f>IF(A8=0,"",VLOOKUP(+VLOOKUP(A8,Tabla3[],'Registro de Operaciones'!$N$6,FALSE),Tipo_Abono,2,FALSE))</f>
        <v/>
      </c>
      <c r="E8" s="19" t="str">
        <f>IF(A8=0,"",+VLOOKUP(A8,Tabla3[],'Registro de Operaciones'!$O$6,FALSE))</f>
        <v/>
      </c>
      <c r="F8" s="19" t="str">
        <f>IF(A8=0,"",+VLOOKUP(A8,Tabla3[],'Registro de Operaciones'!$H$6,FALSE))</f>
        <v/>
      </c>
      <c r="G8" s="32" t="str">
        <f>IF(A8=0,"",ROUND(+VLOOKUP(A8,Tabla3[],'Registro de Operaciones'!$X$6,FALSE),2))</f>
        <v/>
      </c>
      <c r="H8" s="20" t="str">
        <f>IF(A8=0,"",VLOOKUP(+VLOOKUP(A8,Tabla3[],'Registro de Operaciones'!$I$6,FALSE),Tipo_Recibo,2,FALSE))</f>
        <v/>
      </c>
      <c r="I8" s="19" t="str">
        <f>IF(A8=0,"",+VLOOKUP(A8,Tabla3[],'Registro de Operaciones'!$J$6,FALSE))</f>
        <v/>
      </c>
      <c r="J8" s="20" t="str">
        <f t="shared" si="0"/>
        <v/>
      </c>
      <c r="K8" s="19" t="str">
        <f>IF(A8=0,"",+VLOOKUP(A8,Tabla3[],'Registro de Operaciones'!$L$6,FALSE))</f>
        <v/>
      </c>
      <c r="L8" s="20" t="str">
        <f t="shared" si="1"/>
        <v/>
      </c>
      <c r="M8" s="88" t="str">
        <f>IF(A8=0,"",+VLOOKUP(A8,Tabla3[],'Registro de Operaciones'!$E$6,FALSE))</f>
        <v/>
      </c>
      <c r="N8" s="19" t="str">
        <f t="shared" si="2"/>
        <v/>
      </c>
    </row>
    <row r="9" spans="1:14" x14ac:dyDescent="0.25">
      <c r="A9" s="29">
        <f>+BD!AH10</f>
        <v>0</v>
      </c>
      <c r="B9" s="17" t="str">
        <f>IF(A9=0,"",VLOOKUP(+VLOOKUP(A9,Tabla3[],'Registro de Operaciones'!$F$6,FALSE),DOI_Tipo,2,FALSE))</f>
        <v/>
      </c>
      <c r="C9" s="19" t="str">
        <f>IF(A9=0,"",+VLOOKUP(A9,Tabla3[#All],'Registro de Operaciones'!$G$6,FALSE))</f>
        <v/>
      </c>
      <c r="D9" s="18" t="str">
        <f>IF(A9=0,"",VLOOKUP(+VLOOKUP(A9,Tabla3[],'Registro de Operaciones'!$N$6,FALSE),Tipo_Abono,2,FALSE))</f>
        <v/>
      </c>
      <c r="E9" s="19" t="str">
        <f>IF(A9=0,"",+VLOOKUP(A9,Tabla3[],'Registro de Operaciones'!$O$6,FALSE))</f>
        <v/>
      </c>
      <c r="F9" s="19" t="str">
        <f>IF(A9=0,"",+VLOOKUP(A9,Tabla3[],'Registro de Operaciones'!$H$6,FALSE))</f>
        <v/>
      </c>
      <c r="G9" s="32" t="str">
        <f>IF(A9=0,"",ROUND(+VLOOKUP(A9,Tabla3[],'Registro de Operaciones'!$X$6,FALSE),2))</f>
        <v/>
      </c>
      <c r="H9" s="20" t="str">
        <f>IF(A9=0,"",VLOOKUP(+VLOOKUP(A9,Tabla3[],'Registro de Operaciones'!$I$6,FALSE),Tipo_Recibo,2,FALSE))</f>
        <v/>
      </c>
      <c r="I9" s="19" t="str">
        <f>IF(A9=0,"",+VLOOKUP(A9,Tabla3[],'Registro de Operaciones'!$J$6,FALSE))</f>
        <v/>
      </c>
      <c r="J9" s="20" t="str">
        <f t="shared" si="0"/>
        <v/>
      </c>
      <c r="K9" s="19" t="str">
        <f>IF(A9=0,"",+VLOOKUP(A9,Tabla3[],'Registro de Operaciones'!$L$6,FALSE))</f>
        <v/>
      </c>
      <c r="L9" s="20" t="str">
        <f t="shared" si="1"/>
        <v/>
      </c>
      <c r="M9" s="88" t="str">
        <f>IF(A9=0,"",+VLOOKUP(A9,Tabla3[],'Registro de Operaciones'!$E$6,FALSE))</f>
        <v/>
      </c>
      <c r="N9" s="19" t="str">
        <f t="shared" si="2"/>
        <v/>
      </c>
    </row>
    <row r="10" spans="1:14" x14ac:dyDescent="0.25">
      <c r="A10" s="29">
        <f>+BD!AH11</f>
        <v>0</v>
      </c>
      <c r="B10" s="17" t="str">
        <f>IF(A10=0,"",VLOOKUP(+VLOOKUP(A10,Tabla3[],'Registro de Operaciones'!$F$6,FALSE),DOI_Tipo,2,FALSE))</f>
        <v/>
      </c>
      <c r="C10" s="19" t="str">
        <f>IF(A10=0,"",+VLOOKUP(A10,Tabla3[#All],'Registro de Operaciones'!$G$6,FALSE))</f>
        <v/>
      </c>
      <c r="D10" s="18" t="str">
        <f>IF(A10=0,"",VLOOKUP(+VLOOKUP(A10,Tabla3[],'Registro de Operaciones'!$N$6,FALSE),Tipo_Abono,2,FALSE))</f>
        <v/>
      </c>
      <c r="E10" s="19" t="str">
        <f>IF(A10=0,"",+VLOOKUP(A10,Tabla3[],'Registro de Operaciones'!$O$6,FALSE))</f>
        <v/>
      </c>
      <c r="F10" s="19" t="str">
        <f>IF(A10=0,"",+VLOOKUP(A10,Tabla3[],'Registro de Operaciones'!$H$6,FALSE))</f>
        <v/>
      </c>
      <c r="G10" s="32" t="str">
        <f>IF(A10=0,"",ROUND(+VLOOKUP(A10,Tabla3[],'Registro de Operaciones'!$X$6,FALSE),2))</f>
        <v/>
      </c>
      <c r="H10" s="20" t="str">
        <f>IF(A10=0,"",VLOOKUP(+VLOOKUP(A10,Tabla3[],'Registro de Operaciones'!$I$6,FALSE),Tipo_Recibo,2,FALSE))</f>
        <v/>
      </c>
      <c r="I10" s="19" t="str">
        <f>IF(A10=0,"",+VLOOKUP(A10,Tabla3[],'Registro de Operaciones'!$J$6,FALSE))</f>
        <v/>
      </c>
      <c r="J10" s="20" t="str">
        <f t="shared" si="0"/>
        <v/>
      </c>
      <c r="K10" s="19" t="str">
        <f>IF(A10=0,"",+VLOOKUP(A10,Tabla3[],'Registro de Operaciones'!$L$6,FALSE))</f>
        <v/>
      </c>
      <c r="L10" s="20" t="str">
        <f t="shared" si="1"/>
        <v/>
      </c>
      <c r="M10" s="88" t="str">
        <f>IF(A10=0,"",+VLOOKUP(A10,Tabla3[],'Registro de Operaciones'!$E$6,FALSE))</f>
        <v/>
      </c>
      <c r="N10" s="19" t="str">
        <f t="shared" si="2"/>
        <v/>
      </c>
    </row>
    <row r="11" spans="1:14" x14ac:dyDescent="0.25">
      <c r="A11" s="29">
        <f>+BD!AH12</f>
        <v>0</v>
      </c>
      <c r="B11" s="17" t="str">
        <f>IF(A11=0,"",VLOOKUP(+VLOOKUP(A11,Tabla3[],'Registro de Operaciones'!$F$6,FALSE),DOI_Tipo,2,FALSE))</f>
        <v/>
      </c>
      <c r="C11" s="19" t="str">
        <f>IF(A11=0,"",+VLOOKUP(A11,Tabla3[#All],'Registro de Operaciones'!$G$6,FALSE))</f>
        <v/>
      </c>
      <c r="D11" s="18" t="str">
        <f>IF(A11=0,"",VLOOKUP(+VLOOKUP(A11,Tabla3[],'Registro de Operaciones'!$N$6,FALSE),Tipo_Abono,2,FALSE))</f>
        <v/>
      </c>
      <c r="E11" s="19" t="str">
        <f>IF(A11=0,"",+VLOOKUP(A11,Tabla3[],'Registro de Operaciones'!$O$6,FALSE))</f>
        <v/>
      </c>
      <c r="F11" s="19" t="str">
        <f>IF(A11=0,"",+VLOOKUP(A11,Tabla3[],'Registro de Operaciones'!$H$6,FALSE))</f>
        <v/>
      </c>
      <c r="G11" s="32" t="str">
        <f>IF(A11=0,"",ROUND(+VLOOKUP(A11,Tabla3[],'Registro de Operaciones'!$X$6,FALSE),2))</f>
        <v/>
      </c>
      <c r="H11" s="20" t="str">
        <f>IF(A11=0,"",VLOOKUP(+VLOOKUP(A11,Tabla3[],'Registro de Operaciones'!$I$6,FALSE),Tipo_Recibo,2,FALSE))</f>
        <v/>
      </c>
      <c r="I11" s="19" t="str">
        <f>IF(A11=0,"",+VLOOKUP(A11,Tabla3[],'Registro de Operaciones'!$J$6,FALSE))</f>
        <v/>
      </c>
      <c r="J11" s="20" t="str">
        <f t="shared" si="0"/>
        <v/>
      </c>
      <c r="K11" s="19" t="str">
        <f>IF(A11=0,"",+VLOOKUP(A11,Tabla3[],'Registro de Operaciones'!$L$6,FALSE))</f>
        <v/>
      </c>
      <c r="L11" s="20" t="str">
        <f t="shared" si="1"/>
        <v/>
      </c>
      <c r="M11" s="88" t="str">
        <f>IF(A11=0,"",+VLOOKUP(A11,Tabla3[],'Registro de Operaciones'!$E$6,FALSE))</f>
        <v/>
      </c>
      <c r="N11" s="19" t="str">
        <f t="shared" si="2"/>
        <v/>
      </c>
    </row>
    <row r="12" spans="1:14" x14ac:dyDescent="0.25">
      <c r="A12" s="29">
        <f>+BD!AH13</f>
        <v>0</v>
      </c>
      <c r="B12" s="17" t="str">
        <f>IF(A12=0,"",VLOOKUP(+VLOOKUP(A12,Tabla3[],'Registro de Operaciones'!$F$6,FALSE),DOI_Tipo,2,FALSE))</f>
        <v/>
      </c>
      <c r="C12" s="19" t="str">
        <f>IF(A12=0,"",+VLOOKUP(A12,Tabla3[#All],'Registro de Operaciones'!$G$6,FALSE))</f>
        <v/>
      </c>
      <c r="D12" s="18" t="str">
        <f>IF(A12=0,"",VLOOKUP(+VLOOKUP(A12,Tabla3[],'Registro de Operaciones'!$N$6,FALSE),Tipo_Abono,2,FALSE))</f>
        <v/>
      </c>
      <c r="E12" s="19" t="str">
        <f>IF(A12=0,"",+VLOOKUP(A12,Tabla3[],'Registro de Operaciones'!$O$6,FALSE))</f>
        <v/>
      </c>
      <c r="F12" s="19" t="str">
        <f>IF(A12=0,"",+VLOOKUP(A12,Tabla3[],'Registro de Operaciones'!$H$6,FALSE))</f>
        <v/>
      </c>
      <c r="G12" s="32" t="str">
        <f>IF(A12=0,"",ROUND(+VLOOKUP(A12,Tabla3[],'Registro de Operaciones'!$X$6,FALSE),2))</f>
        <v/>
      </c>
      <c r="H12" s="20" t="str">
        <f>IF(A12=0,"",VLOOKUP(+VLOOKUP(A12,Tabla3[],'Registro de Operaciones'!$I$6,FALSE),Tipo_Recibo,2,FALSE))</f>
        <v/>
      </c>
      <c r="I12" s="19" t="str">
        <f>IF(A12=0,"",+VLOOKUP(A12,Tabla3[],'Registro de Operaciones'!$J$6,FALSE))</f>
        <v/>
      </c>
      <c r="J12" s="20" t="str">
        <f t="shared" si="0"/>
        <v/>
      </c>
      <c r="K12" s="19" t="str">
        <f>IF(A12=0,"",+VLOOKUP(A12,Tabla3[],'Registro de Operaciones'!$L$6,FALSE))</f>
        <v/>
      </c>
      <c r="L12" s="20" t="str">
        <f t="shared" si="1"/>
        <v/>
      </c>
      <c r="M12" s="88" t="str">
        <f>IF(A12=0,"",+VLOOKUP(A12,Tabla3[],'Registro de Operaciones'!$E$6,FALSE))</f>
        <v/>
      </c>
      <c r="N12" s="19" t="str">
        <f t="shared" si="2"/>
        <v/>
      </c>
    </row>
    <row r="13" spans="1:14" x14ac:dyDescent="0.25">
      <c r="A13" s="29">
        <f>+BD!AH14</f>
        <v>0</v>
      </c>
      <c r="B13" s="17" t="str">
        <f>IF(A13=0,"",VLOOKUP(+VLOOKUP(A13,Tabla3[],'Registro de Operaciones'!$F$6,FALSE),DOI_Tipo,2,FALSE))</f>
        <v/>
      </c>
      <c r="C13" s="19" t="str">
        <f>IF(A13=0,"",+VLOOKUP(A13,Tabla3[#All],'Registro de Operaciones'!$G$6,FALSE))</f>
        <v/>
      </c>
      <c r="D13" s="18" t="str">
        <f>IF(A13=0,"",VLOOKUP(+VLOOKUP(A13,Tabla3[],'Registro de Operaciones'!$N$6,FALSE),Tipo_Abono,2,FALSE))</f>
        <v/>
      </c>
      <c r="E13" s="19" t="str">
        <f>IF(A13=0,"",+VLOOKUP(A13,Tabla3[],'Registro de Operaciones'!$O$6,FALSE))</f>
        <v/>
      </c>
      <c r="F13" s="19" t="str">
        <f>IF(A13=0,"",+VLOOKUP(A13,Tabla3[],'Registro de Operaciones'!$H$6,FALSE))</f>
        <v/>
      </c>
      <c r="G13" s="32" t="str">
        <f>IF(A13=0,"",ROUND(+VLOOKUP(A13,Tabla3[],'Registro de Operaciones'!$X$6,FALSE),2))</f>
        <v/>
      </c>
      <c r="H13" s="20" t="str">
        <f>IF(A13=0,"",VLOOKUP(+VLOOKUP(A13,Tabla3[],'Registro de Operaciones'!$I$6,FALSE),Tipo_Recibo,2,FALSE))</f>
        <v/>
      </c>
      <c r="I13" s="19" t="str">
        <f>IF(A13=0,"",+VLOOKUP(A13,Tabla3[],'Registro de Operaciones'!$J$6,FALSE))</f>
        <v/>
      </c>
      <c r="J13" s="20" t="str">
        <f t="shared" si="0"/>
        <v/>
      </c>
      <c r="K13" s="19" t="str">
        <f>IF(A13=0,"",+VLOOKUP(A13,Tabla3[],'Registro de Operaciones'!$L$6,FALSE))</f>
        <v/>
      </c>
      <c r="L13" s="20" t="str">
        <f t="shared" si="1"/>
        <v/>
      </c>
      <c r="M13" s="88" t="str">
        <f>IF(A13=0,"",+VLOOKUP(A13,Tabla3[],'Registro de Operaciones'!$E$6,FALSE))</f>
        <v/>
      </c>
      <c r="N13" s="19" t="str">
        <f t="shared" si="2"/>
        <v/>
      </c>
    </row>
    <row r="14" spans="1:14" x14ac:dyDescent="0.25">
      <c r="A14" s="29">
        <f>+BD!AH15</f>
        <v>0</v>
      </c>
      <c r="B14" s="17" t="str">
        <f>IF(A14=0,"",VLOOKUP(+VLOOKUP(A14,Tabla3[],'Registro de Operaciones'!$F$6,FALSE),DOI_Tipo,2,FALSE))</f>
        <v/>
      </c>
      <c r="C14" s="19" t="str">
        <f>IF(A14=0,"",+VLOOKUP(A14,Tabla3[#All],'Registro de Operaciones'!$G$6,FALSE))</f>
        <v/>
      </c>
      <c r="D14" s="18" t="str">
        <f>IF(A14=0,"",VLOOKUP(+VLOOKUP(A14,Tabla3[],'Registro de Operaciones'!$N$6,FALSE),Tipo_Abono,2,FALSE))</f>
        <v/>
      </c>
      <c r="E14" s="19" t="str">
        <f>IF(A14=0,"",+VLOOKUP(A14,Tabla3[],'Registro de Operaciones'!$O$6,FALSE))</f>
        <v/>
      </c>
      <c r="F14" s="19" t="str">
        <f>IF(A14=0,"",+VLOOKUP(A14,Tabla3[],'Registro de Operaciones'!$H$6,FALSE))</f>
        <v/>
      </c>
      <c r="G14" s="32" t="str">
        <f>IF(A14=0,"",ROUND(+VLOOKUP(A14,Tabla3[],'Registro de Operaciones'!$X$6,FALSE),2))</f>
        <v/>
      </c>
      <c r="H14" s="20" t="str">
        <f>IF(A14=0,"",VLOOKUP(+VLOOKUP(A14,Tabla3[],'Registro de Operaciones'!$I$6,FALSE),Tipo_Recibo,2,FALSE))</f>
        <v/>
      </c>
      <c r="I14" s="19" t="str">
        <f>IF(A14=0,"",+VLOOKUP(A14,Tabla3[],'Registro de Operaciones'!$J$6,FALSE))</f>
        <v/>
      </c>
      <c r="J14" s="20" t="str">
        <f t="shared" si="0"/>
        <v/>
      </c>
      <c r="K14" s="19" t="str">
        <f>IF(A14=0,"",+VLOOKUP(A14,Tabla3[],'Registro de Operaciones'!$L$6,FALSE))</f>
        <v/>
      </c>
      <c r="L14" s="20" t="str">
        <f t="shared" si="1"/>
        <v/>
      </c>
      <c r="M14" s="88" t="str">
        <f>IF(A14=0,"",+VLOOKUP(A14,Tabla3[],'Registro de Operaciones'!$E$6,FALSE))</f>
        <v/>
      </c>
      <c r="N14" s="19" t="str">
        <f t="shared" si="2"/>
        <v/>
      </c>
    </row>
    <row r="15" spans="1:14" x14ac:dyDescent="0.25">
      <c r="A15" s="29">
        <f>+BD!AH16</f>
        <v>0</v>
      </c>
      <c r="B15" s="17" t="str">
        <f>IF(A15=0,"",VLOOKUP(+VLOOKUP(A15,Tabla3[],'Registro de Operaciones'!$F$6,FALSE),DOI_Tipo,2,FALSE))</f>
        <v/>
      </c>
      <c r="C15" s="19" t="str">
        <f>IF(A15=0,"",+VLOOKUP(A15,Tabla3[#All],'Registro de Operaciones'!$G$6,FALSE))</f>
        <v/>
      </c>
      <c r="D15" s="18" t="str">
        <f>IF(A15=0,"",VLOOKUP(+VLOOKUP(A15,Tabla3[],'Registro de Operaciones'!$N$6,FALSE),Tipo_Abono,2,FALSE))</f>
        <v/>
      </c>
      <c r="E15" s="19" t="str">
        <f>IF(A15=0,"",+VLOOKUP(A15,Tabla3[],'Registro de Operaciones'!$O$6,FALSE))</f>
        <v/>
      </c>
      <c r="F15" s="19" t="str">
        <f>IF(A15=0,"",+VLOOKUP(A15,Tabla3[],'Registro de Operaciones'!$H$6,FALSE))</f>
        <v/>
      </c>
      <c r="G15" s="32" t="str">
        <f>IF(A15=0,"",ROUND(+VLOOKUP(A15,Tabla3[],'Registro de Operaciones'!$X$6,FALSE),2))</f>
        <v/>
      </c>
      <c r="H15" s="20" t="str">
        <f>IF(A15=0,"",VLOOKUP(+VLOOKUP(A15,Tabla3[],'Registro de Operaciones'!$I$6,FALSE),Tipo_Recibo,2,FALSE))</f>
        <v/>
      </c>
      <c r="I15" s="19" t="str">
        <f>IF(A15=0,"",+VLOOKUP(A15,Tabla3[],'Registro de Operaciones'!$J$6,FALSE))</f>
        <v/>
      </c>
      <c r="J15" s="20" t="str">
        <f t="shared" si="0"/>
        <v/>
      </c>
      <c r="K15" s="19" t="str">
        <f>IF(A15=0,"",+VLOOKUP(A15,Tabla3[],'Registro de Operaciones'!$L$6,FALSE))</f>
        <v/>
      </c>
      <c r="L15" s="20" t="str">
        <f t="shared" si="1"/>
        <v/>
      </c>
      <c r="M15" s="88" t="str">
        <f>IF(A15=0,"",+VLOOKUP(A15,Tabla3[],'Registro de Operaciones'!$E$6,FALSE))</f>
        <v/>
      </c>
      <c r="N15" s="19" t="str">
        <f t="shared" si="2"/>
        <v/>
      </c>
    </row>
    <row r="16" spans="1:14" x14ac:dyDescent="0.25">
      <c r="A16" s="29">
        <f>+BD!AH17</f>
        <v>0</v>
      </c>
      <c r="B16" s="17" t="str">
        <f>IF(A16=0,"",VLOOKUP(+VLOOKUP(A16,Tabla3[],'Registro de Operaciones'!$F$6,FALSE),DOI_Tipo,2,FALSE))</f>
        <v/>
      </c>
      <c r="C16" s="19" t="str">
        <f>IF(A16=0,"",+VLOOKUP(A16,Tabla3[#All],'Registro de Operaciones'!$G$6,FALSE))</f>
        <v/>
      </c>
      <c r="D16" s="18" t="str">
        <f>IF(A16=0,"",VLOOKUP(+VLOOKUP(A16,Tabla3[],'Registro de Operaciones'!$N$6,FALSE),Tipo_Abono,2,FALSE))</f>
        <v/>
      </c>
      <c r="E16" s="19" t="str">
        <f>IF(A16=0,"",+VLOOKUP(A16,Tabla3[],'Registro de Operaciones'!$O$6,FALSE))</f>
        <v/>
      </c>
      <c r="F16" s="19" t="str">
        <f>IF(A16=0,"",+VLOOKUP(A16,Tabla3[],'Registro de Operaciones'!$H$6,FALSE))</f>
        <v/>
      </c>
      <c r="G16" s="32" t="str">
        <f>IF(A16=0,"",ROUND(+VLOOKUP(A16,Tabla3[],'Registro de Operaciones'!$X$6,FALSE),2))</f>
        <v/>
      </c>
      <c r="H16" s="20" t="str">
        <f>IF(A16=0,"",VLOOKUP(+VLOOKUP(A16,Tabla3[],'Registro de Operaciones'!$I$6,FALSE),Tipo_Recibo,2,FALSE))</f>
        <v/>
      </c>
      <c r="I16" s="19" t="str">
        <f>IF(A16=0,"",+VLOOKUP(A16,Tabla3[],'Registro de Operaciones'!$J$6,FALSE))</f>
        <v/>
      </c>
      <c r="J16" s="20" t="str">
        <f t="shared" si="0"/>
        <v/>
      </c>
      <c r="K16" s="19" t="str">
        <f>IF(A16=0,"",+VLOOKUP(A16,Tabla3[],'Registro de Operaciones'!$L$6,FALSE))</f>
        <v/>
      </c>
      <c r="L16" s="20" t="str">
        <f t="shared" si="1"/>
        <v/>
      </c>
      <c r="M16" s="88" t="str">
        <f>IF(A16=0,"",+VLOOKUP(A16,Tabla3[],'Registro de Operaciones'!$E$6,FALSE))</f>
        <v/>
      </c>
      <c r="N16" s="19" t="str">
        <f t="shared" si="2"/>
        <v/>
      </c>
    </row>
    <row r="17" spans="1:14" x14ac:dyDescent="0.25">
      <c r="A17" s="29">
        <f>+BD!AH18</f>
        <v>0</v>
      </c>
      <c r="B17" s="17" t="str">
        <f>IF(A17=0,"",VLOOKUP(+VLOOKUP(A17,Tabla3[],'Registro de Operaciones'!$F$6,FALSE),DOI_Tipo,2,FALSE))</f>
        <v/>
      </c>
      <c r="C17" s="19" t="str">
        <f>IF(A17=0,"",+VLOOKUP(A17,Tabla3[#All],'Registro de Operaciones'!$G$6,FALSE))</f>
        <v/>
      </c>
      <c r="D17" s="18" t="str">
        <f>IF(A17=0,"",VLOOKUP(+VLOOKUP(A17,Tabla3[],'Registro de Operaciones'!$N$6,FALSE),Tipo_Abono,2,FALSE))</f>
        <v/>
      </c>
      <c r="E17" s="19" t="str">
        <f>IF(A17=0,"",+VLOOKUP(A17,Tabla3[],'Registro de Operaciones'!$O$6,FALSE))</f>
        <v/>
      </c>
      <c r="F17" s="19" t="str">
        <f>IF(A17=0,"",+VLOOKUP(A17,Tabla3[],'Registro de Operaciones'!$H$6,FALSE))</f>
        <v/>
      </c>
      <c r="G17" s="32" t="str">
        <f>IF(A17=0,"",ROUND(+VLOOKUP(A17,Tabla3[],'Registro de Operaciones'!$X$6,FALSE),2))</f>
        <v/>
      </c>
      <c r="H17" s="20" t="str">
        <f>IF(A17=0,"",VLOOKUP(+VLOOKUP(A17,Tabla3[],'Registro de Operaciones'!$I$6,FALSE),Tipo_Recibo,2,FALSE))</f>
        <v/>
      </c>
      <c r="I17" s="19" t="str">
        <f>IF(A17=0,"",+VLOOKUP(A17,Tabla3[],'Registro de Operaciones'!$J$6,FALSE))</f>
        <v/>
      </c>
      <c r="J17" s="20" t="str">
        <f t="shared" si="0"/>
        <v/>
      </c>
      <c r="K17" s="19" t="str">
        <f>IF(A17=0,"",+VLOOKUP(A17,Tabla3[],'Registro de Operaciones'!$L$6,FALSE))</f>
        <v/>
      </c>
      <c r="L17" s="20" t="str">
        <f t="shared" si="1"/>
        <v/>
      </c>
      <c r="M17" s="88" t="str">
        <f>IF(A17=0,"",+VLOOKUP(A17,Tabla3[],'Registro de Operaciones'!$E$6,FALSE))</f>
        <v/>
      </c>
      <c r="N17" s="19" t="str">
        <f t="shared" si="2"/>
        <v/>
      </c>
    </row>
    <row r="18" spans="1:14" x14ac:dyDescent="0.25">
      <c r="A18" s="29">
        <f>+BD!AH19</f>
        <v>0</v>
      </c>
      <c r="B18" s="17" t="str">
        <f>IF(A18=0,"",VLOOKUP(+VLOOKUP(A18,Tabla3[],'Registro de Operaciones'!$F$6,FALSE),DOI_Tipo,2,FALSE))</f>
        <v/>
      </c>
      <c r="C18" s="19" t="str">
        <f>IF(A18=0,"",+VLOOKUP(A18,Tabla3[#All],'Registro de Operaciones'!$G$6,FALSE))</f>
        <v/>
      </c>
      <c r="D18" s="18" t="str">
        <f>IF(A18=0,"",VLOOKUP(+VLOOKUP(A18,Tabla3[],'Registro de Operaciones'!$N$6,FALSE),Tipo_Abono,2,FALSE))</f>
        <v/>
      </c>
      <c r="E18" s="19" t="str">
        <f>IF(A18=0,"",+VLOOKUP(A18,Tabla3[],'Registro de Operaciones'!$O$6,FALSE))</f>
        <v/>
      </c>
      <c r="F18" s="19" t="str">
        <f>IF(A18=0,"",+VLOOKUP(A18,Tabla3[],'Registro de Operaciones'!$H$6,FALSE))</f>
        <v/>
      </c>
      <c r="G18" s="32" t="str">
        <f>IF(A18=0,"",ROUND(+VLOOKUP(A18,Tabla3[],'Registro de Operaciones'!$X$6,FALSE),2))</f>
        <v/>
      </c>
      <c r="H18" s="20" t="str">
        <f>IF(A18=0,"",VLOOKUP(+VLOOKUP(A18,Tabla3[],'Registro de Operaciones'!$I$6,FALSE),Tipo_Recibo,2,FALSE))</f>
        <v/>
      </c>
      <c r="I18" s="19" t="str">
        <f>IF(A18=0,"",+VLOOKUP(A18,Tabla3[],'Registro de Operaciones'!$J$6,FALSE))</f>
        <v/>
      </c>
      <c r="J18" s="20" t="str">
        <f t="shared" si="0"/>
        <v/>
      </c>
      <c r="K18" s="19" t="str">
        <f>IF(A18=0,"",+VLOOKUP(A18,Tabla3[],'Registro de Operaciones'!$L$6,FALSE))</f>
        <v/>
      </c>
      <c r="L18" s="20" t="str">
        <f t="shared" si="1"/>
        <v/>
      </c>
      <c r="M18" s="88" t="str">
        <f>IF(A18=0,"",+VLOOKUP(A18,Tabla3[],'Registro de Operaciones'!$E$6,FALSE))</f>
        <v/>
      </c>
      <c r="N18" s="19" t="str">
        <f t="shared" si="2"/>
        <v/>
      </c>
    </row>
    <row r="19" spans="1:14" x14ac:dyDescent="0.25">
      <c r="A19" s="29">
        <f>+BD!AH20</f>
        <v>0</v>
      </c>
      <c r="B19" s="17" t="str">
        <f>IF(A19=0,"",VLOOKUP(+VLOOKUP(A19,Tabla3[],'Registro de Operaciones'!$F$6,FALSE),DOI_Tipo,2,FALSE))</f>
        <v/>
      </c>
      <c r="C19" s="19" t="str">
        <f>IF(A19=0,"",+VLOOKUP(A19,Tabla3[#All],'Registro de Operaciones'!$G$6,FALSE))</f>
        <v/>
      </c>
      <c r="D19" s="18" t="str">
        <f>IF(A19=0,"",VLOOKUP(+VLOOKUP(A19,Tabla3[],'Registro de Operaciones'!$N$6,FALSE),Tipo_Abono,2,FALSE))</f>
        <v/>
      </c>
      <c r="E19" s="19" t="str">
        <f>IF(A19=0,"",+VLOOKUP(A19,Tabla3[],'Registro de Operaciones'!$O$6,FALSE))</f>
        <v/>
      </c>
      <c r="F19" s="19" t="str">
        <f>IF(A19=0,"",+VLOOKUP(A19,Tabla3[],'Registro de Operaciones'!$H$6,FALSE))</f>
        <v/>
      </c>
      <c r="G19" s="32" t="str">
        <f>IF(A19=0,"",ROUND(+VLOOKUP(A19,Tabla3[],'Registro de Operaciones'!$X$6,FALSE),2))</f>
        <v/>
      </c>
      <c r="H19" s="20" t="str">
        <f>IF(A19=0,"",VLOOKUP(+VLOOKUP(A19,Tabla3[],'Registro de Operaciones'!$I$6,FALSE),Tipo_Recibo,2,FALSE))</f>
        <v/>
      </c>
      <c r="I19" s="19" t="str">
        <f>IF(A19=0,"",+VLOOKUP(A19,Tabla3[],'Registro de Operaciones'!$J$6,FALSE))</f>
        <v/>
      </c>
      <c r="J19" s="20" t="str">
        <f t="shared" si="0"/>
        <v/>
      </c>
      <c r="K19" s="19" t="str">
        <f>IF(A19=0,"",+VLOOKUP(A19,Tabla3[],'Registro de Operaciones'!$L$6,FALSE))</f>
        <v/>
      </c>
      <c r="L19" s="20" t="str">
        <f t="shared" si="1"/>
        <v/>
      </c>
      <c r="M19" s="88" t="str">
        <f>IF(A19=0,"",+VLOOKUP(A19,Tabla3[],'Registro de Operaciones'!$E$6,FALSE))</f>
        <v/>
      </c>
      <c r="N19" s="19" t="str">
        <f t="shared" si="2"/>
        <v/>
      </c>
    </row>
    <row r="20" spans="1:14" x14ac:dyDescent="0.25">
      <c r="A20" s="29">
        <f>+BD!AH21</f>
        <v>0</v>
      </c>
      <c r="B20" s="17" t="str">
        <f>IF(A20=0,"",VLOOKUP(+VLOOKUP(A20,Tabla3[],'Registro de Operaciones'!$F$6,FALSE),DOI_Tipo,2,FALSE))</f>
        <v/>
      </c>
      <c r="C20" s="19" t="str">
        <f>IF(A20=0,"",+VLOOKUP(A20,Tabla3[#All],'Registro de Operaciones'!$G$6,FALSE))</f>
        <v/>
      </c>
      <c r="D20" s="18" t="str">
        <f>IF(A20=0,"",VLOOKUP(+VLOOKUP(A20,Tabla3[],'Registro de Operaciones'!$N$6,FALSE),Tipo_Abono,2,FALSE))</f>
        <v/>
      </c>
      <c r="E20" s="19" t="str">
        <f>IF(A20=0,"",+VLOOKUP(A20,Tabla3[],'Registro de Operaciones'!$O$6,FALSE))</f>
        <v/>
      </c>
      <c r="F20" s="19" t="str">
        <f>IF(A20=0,"",+VLOOKUP(A20,Tabla3[],'Registro de Operaciones'!$H$6,FALSE))</f>
        <v/>
      </c>
      <c r="G20" s="32" t="str">
        <f>IF(A20=0,"",ROUND(+VLOOKUP(A20,Tabla3[],'Registro de Operaciones'!$X$6,FALSE),2))</f>
        <v/>
      </c>
      <c r="H20" s="20" t="str">
        <f>IF(A20=0,"",VLOOKUP(+VLOOKUP(A20,Tabla3[],'Registro de Operaciones'!$I$6,FALSE),Tipo_Recibo,2,FALSE))</f>
        <v/>
      </c>
      <c r="I20" s="19" t="str">
        <f>IF(A20=0,"",+VLOOKUP(A20,Tabla3[],'Registro de Operaciones'!$J$6,FALSE))</f>
        <v/>
      </c>
      <c r="J20" s="20" t="str">
        <f t="shared" si="0"/>
        <v/>
      </c>
      <c r="K20" s="19" t="str">
        <f>IF(A20=0,"",+VLOOKUP(A20,Tabla3[],'Registro de Operaciones'!$L$6,FALSE))</f>
        <v/>
      </c>
      <c r="L20" s="20" t="str">
        <f t="shared" si="1"/>
        <v/>
      </c>
      <c r="M20" s="88" t="str">
        <f>IF(A20=0,"",+VLOOKUP(A20,Tabla3[],'Registro de Operaciones'!$E$6,FALSE))</f>
        <v/>
      </c>
      <c r="N20" s="19" t="str">
        <f t="shared" si="2"/>
        <v/>
      </c>
    </row>
    <row r="21" spans="1:14" x14ac:dyDescent="0.25">
      <c r="A21" s="29">
        <f>+BD!AH22</f>
        <v>0</v>
      </c>
      <c r="B21" s="17" t="str">
        <f>IF(A21=0,"",VLOOKUP(+VLOOKUP(A21,Tabla3[],'Registro de Operaciones'!$F$6,FALSE),DOI_Tipo,2,FALSE))</f>
        <v/>
      </c>
      <c r="C21" s="19" t="str">
        <f>IF(A21=0,"",+VLOOKUP(A21,Tabla3[#All],'Registro de Operaciones'!$G$6,FALSE))</f>
        <v/>
      </c>
      <c r="D21" s="18" t="str">
        <f>IF(A21=0,"",VLOOKUP(+VLOOKUP(A21,Tabla3[],'Registro de Operaciones'!$N$6,FALSE),Tipo_Abono,2,FALSE))</f>
        <v/>
      </c>
      <c r="E21" s="19" t="str">
        <f>IF(A21=0,"",+VLOOKUP(A21,Tabla3[],'Registro de Operaciones'!$O$6,FALSE))</f>
        <v/>
      </c>
      <c r="F21" s="19" t="str">
        <f>IF(A21=0,"",+VLOOKUP(A21,Tabla3[],'Registro de Operaciones'!$H$6,FALSE))</f>
        <v/>
      </c>
      <c r="G21" s="32" t="str">
        <f>IF(A21=0,"",ROUND(+VLOOKUP(A21,Tabla3[],'Registro de Operaciones'!$X$6,FALSE),2))</f>
        <v/>
      </c>
      <c r="H21" s="20" t="str">
        <f>IF(A21=0,"",VLOOKUP(+VLOOKUP(A21,Tabla3[],'Registro de Operaciones'!$I$6,FALSE),Tipo_Recibo,2,FALSE))</f>
        <v/>
      </c>
      <c r="I21" s="19" t="str">
        <f>IF(A21=0,"",+VLOOKUP(A21,Tabla3[],'Registro de Operaciones'!$J$6,FALSE))</f>
        <v/>
      </c>
      <c r="J21" s="20" t="str">
        <f t="shared" ref="J21" si="3">+IF(A21&gt;0,"N","")</f>
        <v/>
      </c>
      <c r="K21" s="19" t="str">
        <f>IF(A21=0,"",+VLOOKUP(A21,Tabla3[],'Registro de Operaciones'!$L$6,FALSE))</f>
        <v/>
      </c>
      <c r="L21" s="20" t="str">
        <f t="shared" ref="L21" si="4">+IF(A21&gt;0,"E","")</f>
        <v/>
      </c>
      <c r="M21" s="88" t="str">
        <f>IF(A21=0,"",+VLOOKUP(A21,Tabla3[],'Registro de Operaciones'!$E$6,FALSE))</f>
        <v/>
      </c>
      <c r="N21" s="19" t="str">
        <f t="shared" ref="N21" si="5">+IF(A21&gt;0,"Nayrut Flores","")</f>
        <v/>
      </c>
    </row>
    <row r="23" spans="1:14" ht="26.25" x14ac:dyDescent="0.4">
      <c r="A23" s="80" t="s">
        <v>27</v>
      </c>
      <c r="B23" s="80"/>
      <c r="C23" s="80"/>
      <c r="G23" s="16"/>
    </row>
    <row r="24" spans="1:14" ht="15.75" thickBot="1" x14ac:dyDescent="0.3">
      <c r="A24" s="29"/>
      <c r="G24" s="16"/>
    </row>
    <row r="25" spans="1:14" x14ac:dyDescent="0.25">
      <c r="A25" s="77" t="s">
        <v>240</v>
      </c>
      <c r="B25" s="78" t="s">
        <v>241</v>
      </c>
      <c r="C25" s="78" t="s">
        <v>242</v>
      </c>
      <c r="D25" s="78" t="s">
        <v>243</v>
      </c>
      <c r="E25" s="78" t="s">
        <v>244</v>
      </c>
      <c r="F25" s="78" t="s">
        <v>245</v>
      </c>
      <c r="G25" s="79" t="s">
        <v>246</v>
      </c>
      <c r="H25" s="78" t="s">
        <v>247</v>
      </c>
      <c r="I25" s="78" t="s">
        <v>248</v>
      </c>
      <c r="J25" s="78" t="s">
        <v>249</v>
      </c>
      <c r="K25" s="78" t="s">
        <v>250</v>
      </c>
      <c r="L25" s="78" t="s">
        <v>251</v>
      </c>
      <c r="M25" s="78" t="s">
        <v>252</v>
      </c>
      <c r="N25" s="78" t="s">
        <v>253</v>
      </c>
    </row>
    <row r="26" spans="1:14" x14ac:dyDescent="0.25">
      <c r="A26" s="29">
        <f>+BD!AL5</f>
        <v>16</v>
      </c>
      <c r="B26" s="17" t="str">
        <f>IF(A26=0,"",VLOOKUP(+VLOOKUP(A26,Tabla3[],'Registro de Operaciones'!$F$6,FALSE),DOI_Tipo,2,FALSE))</f>
        <v>R</v>
      </c>
      <c r="C26" s="19" t="str">
        <f>IF(A26=0,"",+VLOOKUP(A26,Tabla3[#All],'Registro de Operaciones'!$G$6,FALSE))</f>
        <v>20600649842</v>
      </c>
      <c r="D26" s="18" t="str">
        <f>IF(A26=0,"",VLOOKUP(+VLOOKUP(A26,Tabla3[],'Registro de Operaciones'!$N$6,FALSE),Tipo_Abono,2,FALSE))</f>
        <v>P</v>
      </c>
      <c r="E26" s="19" t="str">
        <f>IF(A26=0,"",+VLOOKUP(A26,Tabla3[],'Registro de Operaciones'!$O$6,FALSE))</f>
        <v>00110791000200180226</v>
      </c>
      <c r="F26" s="19" t="str">
        <f>IF(A26=0,"",+VLOOKUP(A26,Tabla3[],'Registro de Operaciones'!$H$6,FALSE))</f>
        <v>IMMERSE S.A.C.</v>
      </c>
      <c r="G26" s="32">
        <f>IF(A26=0,"",ROUND(+VLOOKUP(A26,Tabla3[],'Registro de Operaciones'!$U$6,FALSE),2))</f>
        <v>2199.37</v>
      </c>
      <c r="H26" s="20" t="str">
        <f>IF(A26=0,"",VLOOKUP(+VLOOKUP(A26,Tabla3[],'Registro de Operaciones'!$I$6,FALSE),Tipo_Recibo,2,FALSE))</f>
        <v>F</v>
      </c>
      <c r="I26" s="19" t="str">
        <f>IF(A26=0,"",+VLOOKUP(A26,Tabla3[],'Registro de Operaciones'!$J$6,FALSE))</f>
        <v xml:space="preserve">E001-2221 </v>
      </c>
      <c r="J26" s="20" t="str">
        <f>+IF(A26&gt;0,"N","")</f>
        <v>N</v>
      </c>
      <c r="K26" s="19" t="str">
        <f>IF(A26=0,"",+VLOOKUP(A26,Tabla3[],'Registro de Operaciones'!$L$6,FALSE))</f>
        <v>MANTENIMIENTO PLATAFORMA CHATTIGO - JUNIO 2026</v>
      </c>
      <c r="L26" s="20" t="str">
        <f>+IF(A26&gt;0,"E","")</f>
        <v>E</v>
      </c>
      <c r="M26" s="30" t="str">
        <f>IF(A26=0,"",+VLOOKUP(A26,Tabla3[],'Registro de Operaciones'!$E$6,FALSE))</f>
        <v>RAFAEL.LANDAURO@UMA.EDU.PE</v>
      </c>
      <c r="N26" s="19" t="str">
        <f>+IF(A26&gt;0,"Nayrut Flores","")</f>
        <v>Nayrut Flores</v>
      </c>
    </row>
    <row r="27" spans="1:14" x14ac:dyDescent="0.25">
      <c r="A27" s="29">
        <f>+BD!AL6</f>
        <v>0</v>
      </c>
      <c r="B27" s="17" t="str">
        <f>IF(A27=0,"",VLOOKUP(+VLOOKUP(A27,Tabla3[],'Registro de Operaciones'!$F$6,FALSE),DOI_Tipo,2,FALSE))</f>
        <v/>
      </c>
      <c r="C27" s="19" t="str">
        <f>IF(A27=0,"",+VLOOKUP(A27,Tabla3[#All],'Registro de Operaciones'!$G$6,FALSE))</f>
        <v/>
      </c>
      <c r="D27" s="18" t="str">
        <f>IF(A27=0,"",VLOOKUP(+VLOOKUP(A27,Tabla3[],'Registro de Operaciones'!$N$6,FALSE),Tipo_Abono,2,FALSE))</f>
        <v/>
      </c>
      <c r="E27" s="19" t="str">
        <f>IF(A27=0,"",+VLOOKUP(A27,Tabla3[],'Registro de Operaciones'!$O$6,FALSE))</f>
        <v/>
      </c>
      <c r="F27" s="19" t="str">
        <f>IF(A27=0,"",+VLOOKUP(A27,Tabla3[],'Registro de Operaciones'!$H$6,FALSE))</f>
        <v/>
      </c>
      <c r="G27" s="32" t="str">
        <f>IF(A27=0,"",ROUND(+VLOOKUP(A27,Tabla3[],'Registro de Operaciones'!$U$6,FALSE),2))</f>
        <v/>
      </c>
      <c r="H27" s="20" t="str">
        <f>IF(A27=0,"",VLOOKUP(+VLOOKUP(A27,Tabla3[],'Registro de Operaciones'!$I$6,FALSE),Tipo_Recibo,2,FALSE))</f>
        <v/>
      </c>
      <c r="I27" s="19" t="str">
        <f>IF(A27=0,"",+VLOOKUP(A27,Tabla3[],'Registro de Operaciones'!$J$6,FALSE))</f>
        <v/>
      </c>
      <c r="J27" s="20" t="str">
        <f t="shared" ref="J27:J43" si="6">+IF(A27&gt;0,"N","")</f>
        <v/>
      </c>
      <c r="K27" s="19" t="str">
        <f>IF(A27=0,"",+VLOOKUP(A27,Tabla3[],'Registro de Operaciones'!$L$6,FALSE))</f>
        <v/>
      </c>
      <c r="L27" s="20" t="str">
        <f t="shared" ref="L27:L43" si="7">+IF(A27&gt;0,"E","")</f>
        <v/>
      </c>
      <c r="M27" s="30" t="str">
        <f>IF(A27=0,"",+VLOOKUP(A27,Tabla3[],'Registro de Operaciones'!$E$6,FALSE))</f>
        <v/>
      </c>
      <c r="N27" s="19" t="str">
        <f t="shared" ref="N27:N43" si="8">+IF(A27&gt;0,"Nayrut Flores","")</f>
        <v/>
      </c>
    </row>
    <row r="28" spans="1:14" x14ac:dyDescent="0.25">
      <c r="A28" s="29">
        <f>+BD!AL7</f>
        <v>0</v>
      </c>
      <c r="B28" s="17" t="str">
        <f>IF(A28=0,"",VLOOKUP(+VLOOKUP(A28,Tabla3[],'Registro de Operaciones'!$F$6,FALSE),DOI_Tipo,2,FALSE))</f>
        <v/>
      </c>
      <c r="C28" s="19" t="str">
        <f>IF(A28=0,"",+VLOOKUP(A28,Tabla3[#All],'Registro de Operaciones'!$G$6,FALSE))</f>
        <v/>
      </c>
      <c r="D28" s="18" t="str">
        <f>IF(A28=0,"",VLOOKUP(+VLOOKUP(A28,Tabla3[],'Registro de Operaciones'!$N$6,FALSE),Tipo_Abono,2,FALSE))</f>
        <v/>
      </c>
      <c r="E28" s="19" t="str">
        <f>IF(A28=0,"",+VLOOKUP(A28,Tabla3[],'Registro de Operaciones'!$O$6,FALSE))</f>
        <v/>
      </c>
      <c r="F28" s="19" t="str">
        <f>IF(A28=0,"",+VLOOKUP(A28,Tabla3[],'Registro de Operaciones'!$H$6,FALSE))</f>
        <v/>
      </c>
      <c r="G28" s="32" t="str">
        <f>IF(A28=0,"",ROUND(+VLOOKUP(A28,Tabla3[],'Registro de Operaciones'!$U$6,FALSE),2))</f>
        <v/>
      </c>
      <c r="H28" s="20" t="str">
        <f>IF(A28=0,"",VLOOKUP(+VLOOKUP(A28,Tabla3[],'Registro de Operaciones'!$I$6,FALSE),Tipo_Recibo,2,FALSE))</f>
        <v/>
      </c>
      <c r="I28" s="19" t="str">
        <f>IF(A28=0,"",+VLOOKUP(A28,Tabla3[],'Registro de Operaciones'!$J$6,FALSE))</f>
        <v/>
      </c>
      <c r="J28" s="20" t="str">
        <f t="shared" si="6"/>
        <v/>
      </c>
      <c r="K28" s="19" t="str">
        <f>IF(A28=0,"",+VLOOKUP(A28,Tabla3[],'Registro de Operaciones'!$L$6,FALSE))</f>
        <v/>
      </c>
      <c r="L28" s="20" t="str">
        <f t="shared" si="7"/>
        <v/>
      </c>
      <c r="M28" s="30" t="str">
        <f>IF(A28=0,"",+VLOOKUP(A28,Tabla3[],'Registro de Operaciones'!$E$6,FALSE))</f>
        <v/>
      </c>
      <c r="N28" s="19" t="str">
        <f t="shared" si="8"/>
        <v/>
      </c>
    </row>
    <row r="29" spans="1:14" x14ac:dyDescent="0.25">
      <c r="A29" s="29">
        <f>+BD!AL8</f>
        <v>0</v>
      </c>
      <c r="B29" s="17" t="str">
        <f>IF(A29=0,"",VLOOKUP(+VLOOKUP(A29,Tabla3[],'Registro de Operaciones'!$F$6,FALSE),DOI_Tipo,2,FALSE))</f>
        <v/>
      </c>
      <c r="C29" s="19" t="str">
        <f>IF(A29=0,"",+VLOOKUP(A29,Tabla3[#All],'Registro de Operaciones'!$G$6,FALSE))</f>
        <v/>
      </c>
      <c r="D29" s="18" t="str">
        <f>IF(A29=0,"",VLOOKUP(+VLOOKUP(A29,Tabla3[],'Registro de Operaciones'!$N$6,FALSE),Tipo_Abono,2,FALSE))</f>
        <v/>
      </c>
      <c r="E29" s="19" t="str">
        <f>IF(A29=0,"",+VLOOKUP(A29,Tabla3[],'Registro de Operaciones'!$O$6,FALSE))</f>
        <v/>
      </c>
      <c r="F29" s="19" t="str">
        <f>IF(A29=0,"",+VLOOKUP(A29,Tabla3[],'Registro de Operaciones'!$H$6,FALSE))</f>
        <v/>
      </c>
      <c r="G29" s="32" t="str">
        <f>IF(A29=0,"",ROUND(+VLOOKUP(A29,Tabla3[],'Registro de Operaciones'!$U$6,FALSE),2))</f>
        <v/>
      </c>
      <c r="H29" s="20" t="str">
        <f>IF(A29=0,"",VLOOKUP(+VLOOKUP(A29,Tabla3[],'Registro de Operaciones'!$I$6,FALSE),Tipo_Recibo,2,FALSE))</f>
        <v/>
      </c>
      <c r="I29" s="19" t="str">
        <f>IF(A29=0,"",+VLOOKUP(A29,Tabla3[],'Registro de Operaciones'!$J$6,FALSE))</f>
        <v/>
      </c>
      <c r="J29" s="20" t="str">
        <f t="shared" si="6"/>
        <v/>
      </c>
      <c r="K29" s="19" t="str">
        <f>IF(A29=0,"",+VLOOKUP(A29,Tabla3[],'Registro de Operaciones'!$L$6,FALSE))</f>
        <v/>
      </c>
      <c r="L29" s="20" t="str">
        <f t="shared" si="7"/>
        <v/>
      </c>
      <c r="M29" s="30" t="str">
        <f>IF(A29=0,"",+VLOOKUP(A29,Tabla3[],'Registro de Operaciones'!$E$6,FALSE))</f>
        <v/>
      </c>
      <c r="N29" s="19" t="str">
        <f t="shared" si="8"/>
        <v/>
      </c>
    </row>
    <row r="30" spans="1:14" x14ac:dyDescent="0.25">
      <c r="A30" s="29">
        <f>+BD!AL9</f>
        <v>0</v>
      </c>
      <c r="B30" s="17" t="str">
        <f>IF(A30=0,"",VLOOKUP(+VLOOKUP(A30,Tabla3[],'Registro de Operaciones'!$F$6,FALSE),DOI_Tipo,2,FALSE))</f>
        <v/>
      </c>
      <c r="C30" s="19" t="str">
        <f>IF(A30=0,"",+VLOOKUP(A30,Tabla3[#All],'Registro de Operaciones'!$G$6,FALSE))</f>
        <v/>
      </c>
      <c r="D30" s="18" t="str">
        <f>IF(A30=0,"",VLOOKUP(+VLOOKUP(A30,Tabla3[],'Registro de Operaciones'!$N$6,FALSE),Tipo_Abono,2,FALSE))</f>
        <v/>
      </c>
      <c r="E30" s="19" t="str">
        <f>IF(A30=0,"",+VLOOKUP(A30,Tabla3[],'Registro de Operaciones'!$O$6,FALSE))</f>
        <v/>
      </c>
      <c r="F30" s="19" t="str">
        <f>IF(A30=0,"",+VLOOKUP(A30,Tabla3[],'Registro de Operaciones'!$H$6,FALSE))</f>
        <v/>
      </c>
      <c r="G30" s="32" t="str">
        <f>IF(A30=0,"",ROUND(+VLOOKUP(A30,Tabla3[],'Registro de Operaciones'!$U$6,FALSE),2))</f>
        <v/>
      </c>
      <c r="H30" s="20" t="str">
        <f>IF(A30=0,"",VLOOKUP(+VLOOKUP(A30,Tabla3[],'Registro de Operaciones'!$I$6,FALSE),Tipo_Recibo,2,FALSE))</f>
        <v/>
      </c>
      <c r="I30" s="19" t="str">
        <f>IF(A30=0,"",+VLOOKUP(A30,Tabla3[],'Registro de Operaciones'!$J$6,FALSE))</f>
        <v/>
      </c>
      <c r="J30" s="20" t="str">
        <f t="shared" si="6"/>
        <v/>
      </c>
      <c r="K30" s="19" t="str">
        <f>IF(A30=0,"",+VLOOKUP(A30,Tabla3[],'Registro de Operaciones'!$L$6,FALSE))</f>
        <v/>
      </c>
      <c r="L30" s="20" t="str">
        <f t="shared" si="7"/>
        <v/>
      </c>
      <c r="M30" s="30" t="str">
        <f>IF(A30=0,"",+VLOOKUP(A30,Tabla3[],'Registro de Operaciones'!$E$6,FALSE))</f>
        <v/>
      </c>
      <c r="N30" s="19" t="str">
        <f t="shared" si="8"/>
        <v/>
      </c>
    </row>
    <row r="31" spans="1:14" x14ac:dyDescent="0.25">
      <c r="A31" s="29">
        <f>+BD!AL10</f>
        <v>0</v>
      </c>
      <c r="B31" s="17" t="str">
        <f>IF(A31=0,"",VLOOKUP(+VLOOKUP(A31,Tabla3[],'Registro de Operaciones'!$F$6,FALSE),DOI_Tipo,2,FALSE))</f>
        <v/>
      </c>
      <c r="C31" s="19" t="str">
        <f>IF(A31=0,"",+VLOOKUP(A31,Tabla3[#All],'Registro de Operaciones'!$G$6,FALSE))</f>
        <v/>
      </c>
      <c r="D31" s="18" t="str">
        <f>IF(A31=0,"",VLOOKUP(+VLOOKUP(A31,Tabla3[],'Registro de Operaciones'!$N$6,FALSE),Tipo_Abono,2,FALSE))</f>
        <v/>
      </c>
      <c r="E31" s="19" t="str">
        <f>IF(A31=0,"",+VLOOKUP(A31,Tabla3[],'Registro de Operaciones'!$O$6,FALSE))</f>
        <v/>
      </c>
      <c r="F31" s="19" t="str">
        <f>IF(A31=0,"",+VLOOKUP(A31,Tabla3[],'Registro de Operaciones'!$H$6,FALSE))</f>
        <v/>
      </c>
      <c r="G31" s="32" t="str">
        <f>IF(A31=0,"",ROUND(+VLOOKUP(A31,Tabla3[],'Registro de Operaciones'!$U$6,FALSE),2))</f>
        <v/>
      </c>
      <c r="H31" s="20" t="str">
        <f>IF(A31=0,"",VLOOKUP(+VLOOKUP(A31,Tabla3[],'Registro de Operaciones'!$I$6,FALSE),Tipo_Recibo,2,FALSE))</f>
        <v/>
      </c>
      <c r="I31" s="19" t="str">
        <f>IF(A31=0,"",+VLOOKUP(A31,Tabla3[],'Registro de Operaciones'!$J$6,FALSE))</f>
        <v/>
      </c>
      <c r="J31" s="20" t="str">
        <f t="shared" si="6"/>
        <v/>
      </c>
      <c r="K31" s="19" t="str">
        <f>IF(A31=0,"",+VLOOKUP(A31,Tabla3[],'Registro de Operaciones'!$L$6,FALSE))</f>
        <v/>
      </c>
      <c r="L31" s="20" t="str">
        <f t="shared" si="7"/>
        <v/>
      </c>
      <c r="M31" s="30" t="str">
        <f>IF(A31=0,"",+VLOOKUP(A31,Tabla3[],'Registro de Operaciones'!$E$6,FALSE))</f>
        <v/>
      </c>
      <c r="N31" s="19" t="str">
        <f t="shared" si="8"/>
        <v/>
      </c>
    </row>
    <row r="32" spans="1:14" x14ac:dyDescent="0.25">
      <c r="A32" s="29">
        <f>+BD!AL11</f>
        <v>0</v>
      </c>
      <c r="B32" s="17" t="str">
        <f>IF(A32=0,"",VLOOKUP(+VLOOKUP(A32,Tabla3[],'Registro de Operaciones'!$F$6,FALSE),DOI_Tipo,2,FALSE))</f>
        <v/>
      </c>
      <c r="C32" s="19" t="str">
        <f>IF(A32=0,"",+VLOOKUP(A32,Tabla3[#All],'Registro de Operaciones'!$G$6,FALSE))</f>
        <v/>
      </c>
      <c r="D32" s="18" t="str">
        <f>IF(A32=0,"",VLOOKUP(+VLOOKUP(A32,Tabla3[],'Registro de Operaciones'!$N$6,FALSE),Tipo_Abono,2,FALSE))</f>
        <v/>
      </c>
      <c r="E32" s="19" t="str">
        <f>IF(A32=0,"",+VLOOKUP(A32,Tabla3[],'Registro de Operaciones'!$O$6,FALSE))</f>
        <v/>
      </c>
      <c r="F32" s="19" t="str">
        <f>IF(A32=0,"",+VLOOKUP(A32,Tabla3[],'Registro de Operaciones'!$H$6,FALSE))</f>
        <v/>
      </c>
      <c r="G32" s="32" t="str">
        <f>IF(A32=0,"",ROUND(+VLOOKUP(A32,Tabla3[],'Registro de Operaciones'!$U$6,FALSE),2))</f>
        <v/>
      </c>
      <c r="H32" s="20" t="str">
        <f>IF(A32=0,"",VLOOKUP(+VLOOKUP(A32,Tabla3[],'Registro de Operaciones'!$I$6,FALSE),Tipo_Recibo,2,FALSE))</f>
        <v/>
      </c>
      <c r="I32" s="19" t="str">
        <f>IF(A32=0,"",+VLOOKUP(A32,Tabla3[],'Registro de Operaciones'!$J$6,FALSE))</f>
        <v/>
      </c>
      <c r="J32" s="20" t="str">
        <f t="shared" si="6"/>
        <v/>
      </c>
      <c r="K32" s="19" t="str">
        <f>IF(A32=0,"",+VLOOKUP(A32,Tabla3[],'Registro de Operaciones'!$L$6,FALSE))</f>
        <v/>
      </c>
      <c r="L32" s="20" t="str">
        <f t="shared" si="7"/>
        <v/>
      </c>
      <c r="M32" s="30" t="str">
        <f>IF(A32=0,"",+VLOOKUP(A32,Tabla3[],'Registro de Operaciones'!$E$6,FALSE))</f>
        <v/>
      </c>
      <c r="N32" s="19" t="str">
        <f t="shared" si="8"/>
        <v/>
      </c>
    </row>
    <row r="33" spans="1:14" x14ac:dyDescent="0.25">
      <c r="A33" s="29">
        <f>+BD!AL12</f>
        <v>0</v>
      </c>
      <c r="B33" s="17" t="str">
        <f>IF(A33=0,"",VLOOKUP(+VLOOKUP(A33,Tabla3[],'Registro de Operaciones'!$F$6,FALSE),DOI_Tipo,2,FALSE))</f>
        <v/>
      </c>
      <c r="C33" s="19" t="str">
        <f>IF(A33=0,"",+VLOOKUP(A33,Tabla3[#All],'Registro de Operaciones'!$G$6,FALSE))</f>
        <v/>
      </c>
      <c r="D33" s="18" t="str">
        <f>IF(A33=0,"",VLOOKUP(+VLOOKUP(A33,Tabla3[],'Registro de Operaciones'!$N$6,FALSE),Tipo_Abono,2,FALSE))</f>
        <v/>
      </c>
      <c r="E33" s="19" t="str">
        <f>IF(A33=0,"",+VLOOKUP(A33,Tabla3[],'Registro de Operaciones'!$O$6,FALSE))</f>
        <v/>
      </c>
      <c r="F33" s="19" t="str">
        <f>IF(A33=0,"",+VLOOKUP(A33,Tabla3[],'Registro de Operaciones'!$H$6,FALSE))</f>
        <v/>
      </c>
      <c r="G33" s="32" t="str">
        <f>IF(A33=0,"",ROUND(+VLOOKUP(A33,Tabla3[],'Registro de Operaciones'!$U$6,FALSE),2))</f>
        <v/>
      </c>
      <c r="H33" s="20" t="str">
        <f>IF(A33=0,"",VLOOKUP(+VLOOKUP(A33,Tabla3[],'Registro de Operaciones'!$I$6,FALSE),Tipo_Recibo,2,FALSE))</f>
        <v/>
      </c>
      <c r="I33" s="19" t="str">
        <f>IF(A33=0,"",+VLOOKUP(A33,Tabla3[],'Registro de Operaciones'!$J$6,FALSE))</f>
        <v/>
      </c>
      <c r="J33" s="20" t="str">
        <f t="shared" si="6"/>
        <v/>
      </c>
      <c r="K33" s="19" t="str">
        <f>IF(A33=0,"",+VLOOKUP(A33,Tabla3[],'Registro de Operaciones'!$L$6,FALSE))</f>
        <v/>
      </c>
      <c r="L33" s="20" t="str">
        <f t="shared" si="7"/>
        <v/>
      </c>
      <c r="M33" s="30" t="str">
        <f>IF(A33=0,"",+VLOOKUP(A33,Tabla3[],'Registro de Operaciones'!$E$6,FALSE))</f>
        <v/>
      </c>
      <c r="N33" s="19" t="str">
        <f t="shared" si="8"/>
        <v/>
      </c>
    </row>
    <row r="34" spans="1:14" x14ac:dyDescent="0.25">
      <c r="A34" s="29">
        <f>+BD!AL13</f>
        <v>0</v>
      </c>
      <c r="B34" s="17" t="str">
        <f>IF(A34=0,"",VLOOKUP(+VLOOKUP(A34,Tabla3[],'Registro de Operaciones'!$F$6,FALSE),DOI_Tipo,2,FALSE))</f>
        <v/>
      </c>
      <c r="C34" s="19" t="str">
        <f>IF(A34=0,"",+VLOOKUP(A34,Tabla3[#All],'Registro de Operaciones'!$G$6,FALSE))</f>
        <v/>
      </c>
      <c r="D34" s="18" t="str">
        <f>IF(A34=0,"",VLOOKUP(+VLOOKUP(A34,Tabla3[],'Registro de Operaciones'!$N$6,FALSE),Tipo_Abono,2,FALSE))</f>
        <v/>
      </c>
      <c r="E34" s="19" t="str">
        <f>IF(A34=0,"",+VLOOKUP(A34,Tabla3[],'Registro de Operaciones'!$O$6,FALSE))</f>
        <v/>
      </c>
      <c r="F34" s="19" t="str">
        <f>IF(A34=0,"",+VLOOKUP(A34,Tabla3[],'Registro de Operaciones'!$H$6,FALSE))</f>
        <v/>
      </c>
      <c r="G34" s="32" t="str">
        <f>IF(A34=0,"",ROUND(+VLOOKUP(A34,Tabla3[],'Registro de Operaciones'!$U$6,FALSE),2))</f>
        <v/>
      </c>
      <c r="H34" s="20" t="str">
        <f>IF(A34=0,"",VLOOKUP(+VLOOKUP(A34,Tabla3[],'Registro de Operaciones'!$I$6,FALSE),Tipo_Recibo,2,FALSE))</f>
        <v/>
      </c>
      <c r="I34" s="19" t="str">
        <f>IF(A34=0,"",+VLOOKUP(A34,Tabla3[],'Registro de Operaciones'!$J$6,FALSE))</f>
        <v/>
      </c>
      <c r="J34" s="20" t="str">
        <f t="shared" si="6"/>
        <v/>
      </c>
      <c r="K34" s="19" t="str">
        <f>IF(A34=0,"",+VLOOKUP(A34,Tabla3[],'Registro de Operaciones'!$L$6,FALSE))</f>
        <v/>
      </c>
      <c r="L34" s="20" t="str">
        <f t="shared" si="7"/>
        <v/>
      </c>
      <c r="M34" s="30" t="str">
        <f>IF(A34=0,"",+VLOOKUP(A34,Tabla3[],'Registro de Operaciones'!$E$6,FALSE))</f>
        <v/>
      </c>
      <c r="N34" s="19" t="str">
        <f t="shared" si="8"/>
        <v/>
      </c>
    </row>
    <row r="35" spans="1:14" x14ac:dyDescent="0.25">
      <c r="A35" s="29">
        <f>+BD!AL14</f>
        <v>0</v>
      </c>
      <c r="B35" s="17" t="str">
        <f>IF(A35=0,"",VLOOKUP(+VLOOKUP(A35,Tabla3[],'Registro de Operaciones'!$F$6,FALSE),DOI_Tipo,2,FALSE))</f>
        <v/>
      </c>
      <c r="C35" s="19" t="str">
        <f>IF(A35=0,"",+VLOOKUP(A35,Tabla3[#All],'Registro de Operaciones'!$G$6,FALSE))</f>
        <v/>
      </c>
      <c r="D35" s="18" t="str">
        <f>IF(A35=0,"",VLOOKUP(+VLOOKUP(A35,Tabla3[],'Registro de Operaciones'!$N$6,FALSE),Tipo_Abono,2,FALSE))</f>
        <v/>
      </c>
      <c r="E35" s="19" t="str">
        <f>IF(A35=0,"",+VLOOKUP(A35,Tabla3[],'Registro de Operaciones'!$O$6,FALSE))</f>
        <v/>
      </c>
      <c r="F35" s="19" t="str">
        <f>IF(A35=0,"",+VLOOKUP(A35,Tabla3[],'Registro de Operaciones'!$H$6,FALSE))</f>
        <v/>
      </c>
      <c r="G35" s="32" t="str">
        <f>IF(A35=0,"",ROUND(+VLOOKUP(A35,Tabla3[],'Registro de Operaciones'!$U$6,FALSE),2))</f>
        <v/>
      </c>
      <c r="H35" s="20" t="str">
        <f>IF(A35=0,"",VLOOKUP(+VLOOKUP(A35,Tabla3[],'Registro de Operaciones'!$I$6,FALSE),Tipo_Recibo,2,FALSE))</f>
        <v/>
      </c>
      <c r="I35" s="19" t="str">
        <f>IF(A35=0,"",+VLOOKUP(A35,Tabla3[],'Registro de Operaciones'!$J$6,FALSE))</f>
        <v/>
      </c>
      <c r="J35" s="20" t="str">
        <f t="shared" si="6"/>
        <v/>
      </c>
      <c r="K35" s="19" t="str">
        <f>IF(A35=0,"",+VLOOKUP(A35,Tabla3[],'Registro de Operaciones'!$L$6,FALSE))</f>
        <v/>
      </c>
      <c r="L35" s="20" t="str">
        <f t="shared" si="7"/>
        <v/>
      </c>
      <c r="M35" s="30" t="str">
        <f>IF(A35=0,"",+VLOOKUP(A35,Tabla3[],'Registro de Operaciones'!$E$6,FALSE))</f>
        <v/>
      </c>
      <c r="N35" s="19" t="str">
        <f t="shared" si="8"/>
        <v/>
      </c>
    </row>
    <row r="36" spans="1:14" x14ac:dyDescent="0.25">
      <c r="A36" s="29">
        <f>+BD!AL15</f>
        <v>0</v>
      </c>
      <c r="B36" s="17" t="str">
        <f>IF(A36=0,"",VLOOKUP(+VLOOKUP(A36,Tabla3[],'Registro de Operaciones'!$F$6,FALSE),DOI_Tipo,2,FALSE))</f>
        <v/>
      </c>
      <c r="C36" s="19" t="str">
        <f>IF(A36=0,"",+VLOOKUP(A36,Tabla3[#All],'Registro de Operaciones'!$G$6,FALSE))</f>
        <v/>
      </c>
      <c r="D36" s="18" t="str">
        <f>IF(A36=0,"",VLOOKUP(+VLOOKUP(A36,Tabla3[],'Registro de Operaciones'!$N$6,FALSE),Tipo_Abono,2,FALSE))</f>
        <v/>
      </c>
      <c r="E36" s="19" t="str">
        <f>IF(A36=0,"",+VLOOKUP(A36,Tabla3[],'Registro de Operaciones'!$O$6,FALSE))</f>
        <v/>
      </c>
      <c r="F36" s="19" t="str">
        <f>IF(A36=0,"",+VLOOKUP(A36,Tabla3[],'Registro de Operaciones'!$H$6,FALSE))</f>
        <v/>
      </c>
      <c r="G36" s="32" t="str">
        <f>IF(A36=0,"",ROUND(+VLOOKUP(A36,Tabla3[],'Registro de Operaciones'!$U$6,FALSE),2))</f>
        <v/>
      </c>
      <c r="H36" s="20" t="str">
        <f>IF(A36=0,"",VLOOKUP(+VLOOKUP(A36,Tabla3[],'Registro de Operaciones'!$I$6,FALSE),Tipo_Recibo,2,FALSE))</f>
        <v/>
      </c>
      <c r="I36" s="19" t="str">
        <f>IF(A36=0,"",+VLOOKUP(A36,Tabla3[],'Registro de Operaciones'!$J$6,FALSE))</f>
        <v/>
      </c>
      <c r="J36" s="20" t="str">
        <f t="shared" si="6"/>
        <v/>
      </c>
      <c r="K36" s="19" t="str">
        <f>IF(A36=0,"",+VLOOKUP(A36,Tabla3[],'Registro de Operaciones'!$L$6,FALSE))</f>
        <v/>
      </c>
      <c r="L36" s="20" t="str">
        <f t="shared" si="7"/>
        <v/>
      </c>
      <c r="M36" s="30" t="str">
        <f>IF(A36=0,"",+VLOOKUP(A36,Tabla3[],'Registro de Operaciones'!$E$6,FALSE))</f>
        <v/>
      </c>
      <c r="N36" s="19" t="str">
        <f t="shared" si="8"/>
        <v/>
      </c>
    </row>
    <row r="37" spans="1:14" x14ac:dyDescent="0.25">
      <c r="A37" s="29">
        <f>+BD!AL16</f>
        <v>0</v>
      </c>
      <c r="B37" s="17" t="str">
        <f>IF(A37=0,"",VLOOKUP(+VLOOKUP(A37,Tabla3[],'Registro de Operaciones'!$F$6,FALSE),DOI_Tipo,2,FALSE))</f>
        <v/>
      </c>
      <c r="C37" s="19" t="str">
        <f>IF(A37=0,"",+VLOOKUP(A37,Tabla3[#All],'Registro de Operaciones'!$G$6,FALSE))</f>
        <v/>
      </c>
      <c r="D37" s="18" t="str">
        <f>IF(A37=0,"",VLOOKUP(+VLOOKUP(A37,Tabla3[],'Registro de Operaciones'!$N$6,FALSE),Tipo_Abono,2,FALSE))</f>
        <v/>
      </c>
      <c r="E37" s="19" t="str">
        <f>IF(A37=0,"",+VLOOKUP(A37,Tabla3[],'Registro de Operaciones'!$O$6,FALSE))</f>
        <v/>
      </c>
      <c r="F37" s="19" t="str">
        <f>IF(A37=0,"",+VLOOKUP(A37,Tabla3[],'Registro de Operaciones'!$H$6,FALSE))</f>
        <v/>
      </c>
      <c r="G37" s="32" t="str">
        <f>IF(A37=0,"",ROUND(+VLOOKUP(A37,Tabla3[],'Registro de Operaciones'!$U$6,FALSE),2))</f>
        <v/>
      </c>
      <c r="H37" s="20" t="str">
        <f>IF(A37=0,"",VLOOKUP(+VLOOKUP(A37,Tabla3[],'Registro de Operaciones'!$I$6,FALSE),Tipo_Recibo,2,FALSE))</f>
        <v/>
      </c>
      <c r="I37" s="19" t="str">
        <f>IF(A37=0,"",+VLOOKUP(A37,Tabla3[],'Registro de Operaciones'!$J$6,FALSE))</f>
        <v/>
      </c>
      <c r="J37" s="20" t="str">
        <f t="shared" si="6"/>
        <v/>
      </c>
      <c r="K37" s="19" t="str">
        <f>IF(A37=0,"",+VLOOKUP(A37,Tabla3[],'Registro de Operaciones'!$L$6,FALSE))</f>
        <v/>
      </c>
      <c r="L37" s="20" t="str">
        <f t="shared" si="7"/>
        <v/>
      </c>
      <c r="M37" s="30" t="str">
        <f>IF(A37=0,"",+VLOOKUP(A37,Tabla3[],'Registro de Operaciones'!$E$6,FALSE))</f>
        <v/>
      </c>
      <c r="N37" s="19" t="str">
        <f t="shared" si="8"/>
        <v/>
      </c>
    </row>
    <row r="38" spans="1:14" x14ac:dyDescent="0.25">
      <c r="A38" s="29">
        <f>+BD!AL17</f>
        <v>0</v>
      </c>
      <c r="B38" s="17" t="str">
        <f>IF(A38=0,"",VLOOKUP(+VLOOKUP(A38,Tabla3[],'Registro de Operaciones'!$F$6,FALSE),DOI_Tipo,2,FALSE))</f>
        <v/>
      </c>
      <c r="C38" s="19" t="str">
        <f>IF(A38=0,"",+VLOOKUP(A38,Tabla3[#All],'Registro de Operaciones'!$G$6,FALSE))</f>
        <v/>
      </c>
      <c r="D38" s="18" t="str">
        <f>IF(A38=0,"",VLOOKUP(+VLOOKUP(A38,Tabla3[],'Registro de Operaciones'!$N$6,FALSE),Tipo_Abono,2,FALSE))</f>
        <v/>
      </c>
      <c r="E38" s="19" t="str">
        <f>IF(A38=0,"",+VLOOKUP(A38,Tabla3[],'Registro de Operaciones'!$O$6,FALSE))</f>
        <v/>
      </c>
      <c r="F38" s="19" t="str">
        <f>IF(A38=0,"",+VLOOKUP(A38,Tabla3[],'Registro de Operaciones'!$H$6,FALSE))</f>
        <v/>
      </c>
      <c r="G38" s="32" t="str">
        <f>IF(A38=0,"",ROUND(+VLOOKUP(A38,Tabla3[],'Registro de Operaciones'!$U$6,FALSE),2))</f>
        <v/>
      </c>
      <c r="H38" s="20" t="str">
        <f>IF(A38=0,"",VLOOKUP(+VLOOKUP(A38,Tabla3[],'Registro de Operaciones'!$I$6,FALSE),Tipo_Recibo,2,FALSE))</f>
        <v/>
      </c>
      <c r="I38" s="19" t="str">
        <f>IF(A38=0,"",+VLOOKUP(A38,Tabla3[],'Registro de Operaciones'!$J$6,FALSE))</f>
        <v/>
      </c>
      <c r="J38" s="20" t="str">
        <f t="shared" si="6"/>
        <v/>
      </c>
      <c r="K38" s="19" t="str">
        <f>IF(A38=0,"",+VLOOKUP(A38,Tabla3[],'Registro de Operaciones'!$L$6,FALSE))</f>
        <v/>
      </c>
      <c r="L38" s="20" t="str">
        <f t="shared" si="7"/>
        <v/>
      </c>
      <c r="M38" s="30" t="str">
        <f>IF(A38=0,"",+VLOOKUP(A38,Tabla3[],'Registro de Operaciones'!$E$6,FALSE))</f>
        <v/>
      </c>
      <c r="N38" s="19" t="str">
        <f t="shared" si="8"/>
        <v/>
      </c>
    </row>
    <row r="39" spans="1:14" x14ac:dyDescent="0.25">
      <c r="A39" s="29">
        <f>+BD!AL18</f>
        <v>0</v>
      </c>
      <c r="B39" s="17" t="str">
        <f>IF(A39=0,"",VLOOKUP(+VLOOKUP(A39,Tabla3[],'Registro de Operaciones'!$F$6,FALSE),DOI_Tipo,2,FALSE))</f>
        <v/>
      </c>
      <c r="C39" s="19" t="str">
        <f>IF(A39=0,"",+VLOOKUP(A39,Tabla3[#All],'Registro de Operaciones'!$G$6,FALSE))</f>
        <v/>
      </c>
      <c r="D39" s="18" t="str">
        <f>IF(A39=0,"",VLOOKUP(+VLOOKUP(A39,Tabla3[],'Registro de Operaciones'!$N$6,FALSE),Tipo_Abono,2,FALSE))</f>
        <v/>
      </c>
      <c r="E39" s="19" t="str">
        <f>IF(A39=0,"",+VLOOKUP(A39,Tabla3[],'Registro de Operaciones'!$O$6,FALSE))</f>
        <v/>
      </c>
      <c r="F39" s="19" t="str">
        <f>IF(A39=0,"",+VLOOKUP(A39,Tabla3[],'Registro de Operaciones'!$H$6,FALSE))</f>
        <v/>
      </c>
      <c r="G39" s="32" t="str">
        <f>IF(A39=0,"",ROUND(+VLOOKUP(A39,Tabla3[],'Registro de Operaciones'!$U$6,FALSE),2))</f>
        <v/>
      </c>
      <c r="H39" s="20" t="str">
        <f>IF(A39=0,"",VLOOKUP(+VLOOKUP(A39,Tabla3[],'Registro de Operaciones'!$I$6,FALSE),Tipo_Recibo,2,FALSE))</f>
        <v/>
      </c>
      <c r="I39" s="19" t="str">
        <f>IF(A39=0,"",+VLOOKUP(A39,Tabla3[],'Registro de Operaciones'!$J$6,FALSE))</f>
        <v/>
      </c>
      <c r="J39" s="20" t="str">
        <f t="shared" si="6"/>
        <v/>
      </c>
      <c r="K39" s="19" t="str">
        <f>IF(A39=0,"",+VLOOKUP(A39,Tabla3[],'Registro de Operaciones'!$L$6,FALSE))</f>
        <v/>
      </c>
      <c r="L39" s="20" t="str">
        <f t="shared" si="7"/>
        <v/>
      </c>
      <c r="M39" s="30" t="str">
        <f>IF(A39=0,"",+VLOOKUP(A39,Tabla3[],'Registro de Operaciones'!$E$6,FALSE))</f>
        <v/>
      </c>
      <c r="N39" s="19" t="str">
        <f t="shared" si="8"/>
        <v/>
      </c>
    </row>
    <row r="40" spans="1:14" x14ac:dyDescent="0.25">
      <c r="A40" s="29">
        <f>+BD!AL19</f>
        <v>0</v>
      </c>
      <c r="B40" s="17" t="str">
        <f>IF(A40=0,"",VLOOKUP(+VLOOKUP(A40,Tabla3[],'Registro de Operaciones'!$F$6,FALSE),DOI_Tipo,2,FALSE))</f>
        <v/>
      </c>
      <c r="C40" s="19" t="str">
        <f>IF(A40=0,"",+VLOOKUP(A40,Tabla3[#All],'Registro de Operaciones'!$G$6,FALSE))</f>
        <v/>
      </c>
      <c r="D40" s="18" t="str">
        <f>IF(A40=0,"",VLOOKUP(+VLOOKUP(A40,Tabla3[],'Registro de Operaciones'!$N$6,FALSE),Tipo_Abono,2,FALSE))</f>
        <v/>
      </c>
      <c r="E40" s="19" t="str">
        <f>IF(A40=0,"",+VLOOKUP(A40,Tabla3[],'Registro de Operaciones'!$O$6,FALSE))</f>
        <v/>
      </c>
      <c r="F40" s="19" t="str">
        <f>IF(A40=0,"",+VLOOKUP(A40,Tabla3[],'Registro de Operaciones'!$H$6,FALSE))</f>
        <v/>
      </c>
      <c r="G40" s="32" t="str">
        <f>IF(A40=0,"",ROUND(+VLOOKUP(A40,Tabla3[],'Registro de Operaciones'!$U$6,FALSE),2))</f>
        <v/>
      </c>
      <c r="H40" s="20" t="str">
        <f>IF(A40=0,"",VLOOKUP(+VLOOKUP(A40,Tabla3[],'Registro de Operaciones'!$I$6,FALSE),Tipo_Recibo,2,FALSE))</f>
        <v/>
      </c>
      <c r="I40" s="19" t="str">
        <f>IF(A40=0,"",+VLOOKUP(A40,Tabla3[],'Registro de Operaciones'!$J$6,FALSE))</f>
        <v/>
      </c>
      <c r="J40" s="20" t="str">
        <f t="shared" si="6"/>
        <v/>
      </c>
      <c r="K40" s="19" t="str">
        <f>IF(A40=0,"",+VLOOKUP(A40,Tabla3[],'Registro de Operaciones'!$L$6,FALSE))</f>
        <v/>
      </c>
      <c r="L40" s="20" t="str">
        <f t="shared" si="7"/>
        <v/>
      </c>
      <c r="M40" s="30" t="str">
        <f>IF(A40=0,"",+VLOOKUP(A40,Tabla3[],'Registro de Operaciones'!$E$6,FALSE))</f>
        <v/>
      </c>
      <c r="N40" s="19" t="str">
        <f t="shared" si="8"/>
        <v/>
      </c>
    </row>
    <row r="41" spans="1:14" x14ac:dyDescent="0.25">
      <c r="A41" s="29">
        <f>+BD!AL20</f>
        <v>0</v>
      </c>
      <c r="B41" s="17" t="str">
        <f>IF(A41=0,"",VLOOKUP(+VLOOKUP(A41,Tabla3[],'Registro de Operaciones'!$F$6,FALSE),DOI_Tipo,2,FALSE))</f>
        <v/>
      </c>
      <c r="C41" s="19" t="str">
        <f>IF(A41=0,"",+VLOOKUP(A41,Tabla3[#All],'Registro de Operaciones'!$G$6,FALSE))</f>
        <v/>
      </c>
      <c r="D41" s="18" t="str">
        <f>IF(A41=0,"",VLOOKUP(+VLOOKUP(A41,Tabla3[],'Registro de Operaciones'!$N$6,FALSE),Tipo_Abono,2,FALSE))</f>
        <v/>
      </c>
      <c r="E41" s="19" t="str">
        <f>IF(A41=0,"",+VLOOKUP(A41,Tabla3[],'Registro de Operaciones'!$O$6,FALSE))</f>
        <v/>
      </c>
      <c r="F41" s="19" t="str">
        <f>IF(A41=0,"",+VLOOKUP(A41,Tabla3[],'Registro de Operaciones'!$H$6,FALSE))</f>
        <v/>
      </c>
      <c r="G41" s="32" t="str">
        <f>IF(A41=0,"",ROUND(+VLOOKUP(A41,Tabla3[],'Registro de Operaciones'!$U$6,FALSE),2))</f>
        <v/>
      </c>
      <c r="H41" s="20" t="str">
        <f>IF(A41=0,"",VLOOKUP(+VLOOKUP(A41,Tabla3[],'Registro de Operaciones'!$I$6,FALSE),Tipo_Recibo,2,FALSE))</f>
        <v/>
      </c>
      <c r="I41" s="19" t="str">
        <f>IF(A41=0,"",+VLOOKUP(A41,Tabla3[],'Registro de Operaciones'!$J$6,FALSE))</f>
        <v/>
      </c>
      <c r="J41" s="20" t="str">
        <f t="shared" si="6"/>
        <v/>
      </c>
      <c r="K41" s="19" t="str">
        <f>IF(A41=0,"",+VLOOKUP(A41,Tabla3[],'Registro de Operaciones'!$L$6,FALSE))</f>
        <v/>
      </c>
      <c r="L41" s="20" t="str">
        <f t="shared" si="7"/>
        <v/>
      </c>
      <c r="M41" s="30" t="str">
        <f>IF(A41=0,"",+VLOOKUP(A41,Tabla3[],'Registro de Operaciones'!$E$6,FALSE))</f>
        <v/>
      </c>
      <c r="N41" s="19" t="str">
        <f t="shared" si="8"/>
        <v/>
      </c>
    </row>
    <row r="42" spans="1:14" x14ac:dyDescent="0.25">
      <c r="A42" s="29">
        <f>+BD!AL21</f>
        <v>0</v>
      </c>
      <c r="B42" s="17" t="str">
        <f>IF(A42=0,"",VLOOKUP(+VLOOKUP(A42,Tabla3[],'Registro de Operaciones'!$F$6,FALSE),DOI_Tipo,2,FALSE))</f>
        <v/>
      </c>
      <c r="C42" s="19" t="str">
        <f>IF(A42=0,"",+VLOOKUP(A42,Tabla3[#All],'Registro de Operaciones'!$G$6,FALSE))</f>
        <v/>
      </c>
      <c r="D42" s="18" t="str">
        <f>IF(A42=0,"",VLOOKUP(+VLOOKUP(A42,Tabla3[],'Registro de Operaciones'!$N$6,FALSE),Tipo_Abono,2,FALSE))</f>
        <v/>
      </c>
      <c r="E42" s="19" t="str">
        <f>IF(A42=0,"",+VLOOKUP(A42,Tabla3[],'Registro de Operaciones'!$O$6,FALSE))</f>
        <v/>
      </c>
      <c r="F42" s="19" t="str">
        <f>IF(A42=0,"",+VLOOKUP(A42,Tabla3[],'Registro de Operaciones'!$H$6,FALSE))</f>
        <v/>
      </c>
      <c r="G42" s="32" t="str">
        <f>IF(A42=0,"",ROUND(+VLOOKUP(A42,Tabla3[],'Registro de Operaciones'!$U$6,FALSE),2))</f>
        <v/>
      </c>
      <c r="H42" s="20" t="str">
        <f>IF(A42=0,"",VLOOKUP(+VLOOKUP(A42,Tabla3[],'Registro de Operaciones'!$I$6,FALSE),Tipo_Recibo,2,FALSE))</f>
        <v/>
      </c>
      <c r="I42" s="19" t="str">
        <f>IF(A42=0,"",+VLOOKUP(A42,Tabla3[],'Registro de Operaciones'!$J$6,FALSE))</f>
        <v/>
      </c>
      <c r="J42" s="20" t="str">
        <f t="shared" si="6"/>
        <v/>
      </c>
      <c r="K42" s="19" t="str">
        <f>IF(A42=0,"",+VLOOKUP(A42,Tabla3[],'Registro de Operaciones'!$L$6,FALSE))</f>
        <v/>
      </c>
      <c r="L42" s="20" t="str">
        <f t="shared" si="7"/>
        <v/>
      </c>
      <c r="M42" s="30" t="str">
        <f>IF(A42=0,"",+VLOOKUP(A42,Tabla3[],'Registro de Operaciones'!$E$6,FALSE))</f>
        <v/>
      </c>
      <c r="N42" s="19" t="str">
        <f t="shared" si="8"/>
        <v/>
      </c>
    </row>
    <row r="43" spans="1:14" x14ac:dyDescent="0.25">
      <c r="A43" s="29">
        <f>+BD!AL22</f>
        <v>0</v>
      </c>
      <c r="B43" s="17" t="str">
        <f>IF(A43=0,"",VLOOKUP(+VLOOKUP(A43,Tabla3[],'Registro de Operaciones'!$F$6,FALSE),DOI_Tipo,2,FALSE))</f>
        <v/>
      </c>
      <c r="C43" s="19" t="str">
        <f>IF(A43=0,"",+VLOOKUP(A43,Tabla3[#All],'Registro de Operaciones'!$G$6,FALSE))</f>
        <v/>
      </c>
      <c r="D43" s="18" t="str">
        <f>IF(A43=0,"",VLOOKUP(+VLOOKUP(A43,Tabla3[],'Registro de Operaciones'!$N$6,FALSE),Tipo_Abono,2,FALSE))</f>
        <v/>
      </c>
      <c r="E43" s="19" t="str">
        <f>IF(A43=0,"",+VLOOKUP(A43,Tabla3[],'Registro de Operaciones'!$O$6,FALSE))</f>
        <v/>
      </c>
      <c r="F43" s="19" t="str">
        <f>IF(A43=0,"",+VLOOKUP(A43,Tabla3[],'Registro de Operaciones'!$H$6,FALSE))</f>
        <v/>
      </c>
      <c r="G43" s="32" t="str">
        <f>IF(A43=0,"",ROUND(+VLOOKUP(A43,Tabla3[],'Registro de Operaciones'!$U$6,FALSE),2))</f>
        <v/>
      </c>
      <c r="H43" s="20" t="str">
        <f>IF(A43=0,"",VLOOKUP(+VLOOKUP(A43,Tabla3[],'Registro de Operaciones'!$I$6,FALSE),Tipo_Recibo,2,FALSE))</f>
        <v/>
      </c>
      <c r="I43" s="19" t="str">
        <f>IF(A43=0,"",+VLOOKUP(A43,Tabla3[],'Registro de Operaciones'!$J$6,FALSE))</f>
        <v/>
      </c>
      <c r="J43" s="20" t="str">
        <f t="shared" si="6"/>
        <v/>
      </c>
      <c r="K43" s="19" t="str">
        <f>IF(A43=0,"",+VLOOKUP(A43,Tabla3[],'Registro de Operaciones'!$L$6,FALSE))</f>
        <v/>
      </c>
      <c r="L43" s="20" t="str">
        <f t="shared" si="7"/>
        <v/>
      </c>
      <c r="M43" s="30" t="str">
        <f>IF(A43=0,"",+VLOOKUP(A43,Tabla3[],'Registro de Operaciones'!$E$6,FALSE))</f>
        <v/>
      </c>
      <c r="N43" s="19" t="str">
        <f t="shared" si="8"/>
        <v/>
      </c>
    </row>
  </sheetData>
  <hyperlinks>
    <hyperlink ref="M26" r:id="rId1" display="recepciondefacturas@uma.edu.pe" xr:uid="{42F69968-DA50-4AAB-9D7A-B66BDCA13CF0}"/>
    <hyperlink ref="M27:M43" r:id="rId2" display="recepciondefacturas@uma.edu.pe" xr:uid="{02D0F34E-244C-4528-8B6A-31C23D31F139}"/>
  </hyperlinks>
  <pageMargins left="0.7" right="0.7" top="0.75" bottom="0.75" header="0.3" footer="0.3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8644-B6BF-4AA0-BF4E-CA6971295F36}">
  <sheetPr codeName="Hoja3"/>
  <dimension ref="A1:AP317"/>
  <sheetViews>
    <sheetView showGridLines="0" topLeftCell="Y1" zoomScale="70" zoomScaleNormal="70" workbookViewId="0">
      <selection activeCell="AB7" sqref="AB7"/>
    </sheetView>
  </sheetViews>
  <sheetFormatPr baseColWidth="10" defaultColWidth="11.42578125" defaultRowHeight="14.25" x14ac:dyDescent="0.2"/>
  <cols>
    <col min="1" max="1" width="11.42578125" style="1"/>
    <col min="2" max="2" width="23.85546875" style="2" customWidth="1"/>
    <col min="3" max="3" width="55.42578125" style="1" bestFit="1" customWidth="1"/>
    <col min="4" max="4" width="18.140625" style="1" bestFit="1" customWidth="1"/>
    <col min="5" max="5" width="29" style="2" customWidth="1"/>
    <col min="6" max="6" width="12.5703125" style="3" customWidth="1"/>
    <col min="7" max="7" width="2.7109375" style="1" bestFit="1" customWidth="1"/>
    <col min="8" max="8" width="24.42578125" style="1" bestFit="1" customWidth="1"/>
    <col min="9" max="9" width="13.85546875" style="1" bestFit="1" customWidth="1"/>
    <col min="10" max="10" width="19.140625" style="1" customWidth="1"/>
    <col min="11" max="11" width="26.42578125" style="1" bestFit="1" customWidth="1"/>
    <col min="12" max="13" width="11.42578125" style="1"/>
    <col min="14" max="14" width="71.28515625" style="1" bestFit="1" customWidth="1"/>
    <col min="15" max="15" width="28.140625" style="1" customWidth="1"/>
    <col min="16" max="16" width="11.42578125" style="1"/>
    <col min="17" max="17" width="26.42578125" style="1" bestFit="1" customWidth="1"/>
    <col min="18" max="18" width="29.140625" style="1" bestFit="1" customWidth="1"/>
    <col min="19" max="19" width="11.42578125" style="1"/>
    <col min="20" max="20" width="15.42578125" style="1" bestFit="1" customWidth="1"/>
    <col min="21" max="21" width="2.85546875" style="1" bestFit="1" customWidth="1"/>
    <col min="22" max="26" width="11.42578125" style="1"/>
    <col min="27" max="27" width="31.140625" style="1" bestFit="1" customWidth="1"/>
    <col min="28" max="28" width="16.42578125" style="1" bestFit="1" customWidth="1"/>
    <col min="29" max="30" width="11.42578125" style="1"/>
    <col min="31" max="31" width="31.140625" style="1" bestFit="1" customWidth="1"/>
    <col min="32" max="32" width="16.42578125" style="1" bestFit="1" customWidth="1"/>
    <col min="33" max="33" width="11.42578125" style="1"/>
    <col min="34" max="34" width="31.140625" style="1" bestFit="1" customWidth="1"/>
    <col min="35" max="35" width="28.140625" style="1" bestFit="1" customWidth="1"/>
    <col min="36" max="37" width="11.42578125" style="1"/>
    <col min="38" max="38" width="31.140625" style="1" bestFit="1" customWidth="1"/>
    <col min="39" max="39" width="28.140625" style="1" bestFit="1" customWidth="1"/>
    <col min="40" max="16384" width="11.42578125" style="1"/>
  </cols>
  <sheetData>
    <row r="1" spans="1:42" ht="15" x14ac:dyDescent="0.25">
      <c r="AA1" s="27" t="s">
        <v>1264</v>
      </c>
      <c r="AB1" t="s">
        <v>217</v>
      </c>
      <c r="AE1" s="27" t="s">
        <v>1264</v>
      </c>
      <c r="AF1" t="s">
        <v>217</v>
      </c>
      <c r="AH1" s="27" t="s">
        <v>1264</v>
      </c>
      <c r="AI1" t="s">
        <v>1247</v>
      </c>
      <c r="AL1" s="27" t="s">
        <v>1264</v>
      </c>
      <c r="AM1" t="s">
        <v>1247</v>
      </c>
    </row>
    <row r="2" spans="1:42" ht="15" x14ac:dyDescent="0.25">
      <c r="B2" s="2" t="s">
        <v>321</v>
      </c>
      <c r="AA2" s="27" t="s">
        <v>9</v>
      </c>
      <c r="AB2" t="s">
        <v>22</v>
      </c>
      <c r="AE2" s="27" t="s">
        <v>9</v>
      </c>
      <c r="AF2" t="s">
        <v>27</v>
      </c>
      <c r="AH2" s="27" t="s">
        <v>9</v>
      </c>
      <c r="AI2" t="s">
        <v>22</v>
      </c>
      <c r="AL2" s="27" t="s">
        <v>9</v>
      </c>
      <c r="AM2" t="s">
        <v>27</v>
      </c>
      <c r="AP2" s="1" t="s">
        <v>1291</v>
      </c>
    </row>
    <row r="3" spans="1:42" ht="15.75" thickBot="1" x14ac:dyDescent="0.3">
      <c r="B3" s="5" t="s">
        <v>322</v>
      </c>
      <c r="C3" s="6" t="s">
        <v>323</v>
      </c>
      <c r="D3" s="7" t="s">
        <v>324</v>
      </c>
      <c r="E3" s="7" t="s">
        <v>325</v>
      </c>
      <c r="F3" s="5" t="s">
        <v>9</v>
      </c>
      <c r="Q3" s="1" t="s">
        <v>326</v>
      </c>
    </row>
    <row r="4" spans="1:42" ht="15" x14ac:dyDescent="0.25">
      <c r="A4" s="1">
        <f>+LEN(E4)</f>
        <v>20</v>
      </c>
      <c r="B4" s="8" t="s">
        <v>116</v>
      </c>
      <c r="C4" s="9" t="s">
        <v>294</v>
      </c>
      <c r="D4" s="9" t="s">
        <v>327</v>
      </c>
      <c r="E4" s="10" t="s">
        <v>293</v>
      </c>
      <c r="F4" s="11" t="s">
        <v>22</v>
      </c>
      <c r="M4" s="1" t="s">
        <v>328</v>
      </c>
      <c r="N4" s="1" t="s">
        <v>329</v>
      </c>
      <c r="Q4" s="55">
        <v>1</v>
      </c>
      <c r="R4" s="56" t="s">
        <v>97</v>
      </c>
      <c r="S4" s="57" t="s">
        <v>267</v>
      </c>
      <c r="AA4" s="27" t="s">
        <v>330</v>
      </c>
      <c r="AB4" t="s">
        <v>331</v>
      </c>
      <c r="AC4"/>
      <c r="AE4" s="27" t="s">
        <v>330</v>
      </c>
      <c r="AF4" t="s">
        <v>331</v>
      </c>
      <c r="AH4" s="27" t="s">
        <v>330</v>
      </c>
      <c r="AI4" t="s">
        <v>331</v>
      </c>
      <c r="AJ4"/>
      <c r="AL4" s="27" t="s">
        <v>330</v>
      </c>
      <c r="AM4" t="s">
        <v>331</v>
      </c>
    </row>
    <row r="5" spans="1:42" ht="15" x14ac:dyDescent="0.25">
      <c r="A5" s="1">
        <f t="shared" ref="A5:A68" si="0">+LEN(E5)</f>
        <v>20</v>
      </c>
      <c r="B5" s="8" t="s">
        <v>53</v>
      </c>
      <c r="C5" s="9" t="s">
        <v>257</v>
      </c>
      <c r="D5" s="9" t="s">
        <v>327</v>
      </c>
      <c r="E5" s="10" t="s">
        <v>256</v>
      </c>
      <c r="F5" s="11" t="s">
        <v>22</v>
      </c>
      <c r="M5" s="21">
        <v>10001</v>
      </c>
      <c r="N5" s="22" t="s">
        <v>332</v>
      </c>
      <c r="Q5" s="58">
        <v>2</v>
      </c>
      <c r="R5" s="54" t="s">
        <v>20</v>
      </c>
      <c r="S5" s="59" t="s">
        <v>254</v>
      </c>
      <c r="AA5" s="28">
        <v>67</v>
      </c>
      <c r="AB5">
        <v>67</v>
      </c>
      <c r="AC5"/>
      <c r="AE5" s="28">
        <v>2</v>
      </c>
      <c r="AF5">
        <v>2</v>
      </c>
      <c r="AH5" s="28">
        <v>5</v>
      </c>
      <c r="AI5">
        <v>5</v>
      </c>
      <c r="AJ5"/>
      <c r="AL5" s="28">
        <v>16</v>
      </c>
      <c r="AM5">
        <v>16</v>
      </c>
    </row>
    <row r="6" spans="1:42" ht="15" x14ac:dyDescent="0.25">
      <c r="A6" s="1">
        <f t="shared" si="0"/>
        <v>20</v>
      </c>
      <c r="B6" s="8" t="s">
        <v>129</v>
      </c>
      <c r="C6" s="9" t="s">
        <v>302</v>
      </c>
      <c r="D6" s="9" t="s">
        <v>327</v>
      </c>
      <c r="E6" s="10" t="s">
        <v>301</v>
      </c>
      <c r="F6" s="11" t="s">
        <v>22</v>
      </c>
      <c r="M6" s="23">
        <v>20001</v>
      </c>
      <c r="N6" s="24" t="s">
        <v>333</v>
      </c>
      <c r="Q6" s="58">
        <v>3</v>
      </c>
      <c r="R6" s="54" t="s">
        <v>334</v>
      </c>
      <c r="S6" s="59" t="s">
        <v>335</v>
      </c>
      <c r="T6"/>
      <c r="U6"/>
      <c r="AA6" s="28">
        <v>81</v>
      </c>
      <c r="AB6">
        <v>81</v>
      </c>
      <c r="AC6"/>
      <c r="AE6" s="28">
        <v>26</v>
      </c>
      <c r="AF6">
        <v>26</v>
      </c>
      <c r="AH6" s="28">
        <v>12</v>
      </c>
      <c r="AI6">
        <v>12</v>
      </c>
      <c r="AJ6"/>
      <c r="AL6"/>
      <c r="AM6"/>
    </row>
    <row r="7" spans="1:42" ht="15" x14ac:dyDescent="0.25">
      <c r="A7" s="1">
        <f t="shared" si="0"/>
        <v>20</v>
      </c>
      <c r="B7" s="8" t="s">
        <v>133</v>
      </c>
      <c r="C7" s="9" t="s">
        <v>304</v>
      </c>
      <c r="D7" s="9" t="s">
        <v>327</v>
      </c>
      <c r="E7" s="10" t="s">
        <v>303</v>
      </c>
      <c r="F7" s="11" t="s">
        <v>22</v>
      </c>
      <c r="M7" s="21">
        <v>20002</v>
      </c>
      <c r="N7" s="22" t="s">
        <v>336</v>
      </c>
      <c r="Q7" s="58">
        <v>4</v>
      </c>
      <c r="R7" s="54" t="s">
        <v>192</v>
      </c>
      <c r="S7" s="59" t="s">
        <v>260</v>
      </c>
      <c r="T7"/>
      <c r="U7"/>
      <c r="AA7"/>
      <c r="AB7"/>
      <c r="AC7"/>
      <c r="AE7" s="28">
        <v>34</v>
      </c>
      <c r="AF7">
        <v>34</v>
      </c>
      <c r="AH7"/>
      <c r="AI7"/>
      <c r="AJ7"/>
      <c r="AL7"/>
      <c r="AM7"/>
    </row>
    <row r="8" spans="1:42" ht="15.75" thickBot="1" x14ac:dyDescent="0.3">
      <c r="A8" s="1">
        <f t="shared" si="0"/>
        <v>20</v>
      </c>
      <c r="B8" s="8" t="s">
        <v>337</v>
      </c>
      <c r="C8" s="9" t="s">
        <v>338</v>
      </c>
      <c r="D8" s="9" t="s">
        <v>339</v>
      </c>
      <c r="E8" s="10" t="s">
        <v>340</v>
      </c>
      <c r="F8" s="11" t="s">
        <v>22</v>
      </c>
      <c r="M8" s="23">
        <v>20003</v>
      </c>
      <c r="N8" s="24" t="s">
        <v>341</v>
      </c>
      <c r="Q8" s="60">
        <v>5</v>
      </c>
      <c r="R8" s="61" t="s">
        <v>342</v>
      </c>
      <c r="S8" s="62" t="s">
        <v>255</v>
      </c>
      <c r="T8"/>
      <c r="U8"/>
      <c r="AA8"/>
      <c r="AB8"/>
      <c r="AC8"/>
      <c r="AE8" s="28">
        <v>38</v>
      </c>
      <c r="AF8">
        <v>38</v>
      </c>
      <c r="AH8"/>
      <c r="AI8"/>
      <c r="AJ8"/>
      <c r="AL8"/>
      <c r="AM8"/>
    </row>
    <row r="9" spans="1:42" ht="15" x14ac:dyDescent="0.25">
      <c r="A9" s="1">
        <f t="shared" si="0"/>
        <v>20</v>
      </c>
      <c r="B9" s="8" t="s">
        <v>238</v>
      </c>
      <c r="C9" s="9" t="s">
        <v>292</v>
      </c>
      <c r="D9" s="9" t="s">
        <v>327</v>
      </c>
      <c r="E9" s="10" t="s">
        <v>343</v>
      </c>
      <c r="F9" s="11" t="s">
        <v>22</v>
      </c>
      <c r="M9" s="21">
        <v>20004</v>
      </c>
      <c r="N9" s="22" t="s">
        <v>344</v>
      </c>
      <c r="AA9"/>
      <c r="AB9"/>
      <c r="AC9"/>
      <c r="AE9" s="28">
        <v>39</v>
      </c>
      <c r="AF9">
        <v>39</v>
      </c>
      <c r="AH9"/>
      <c r="AI9"/>
      <c r="AJ9"/>
      <c r="AL9"/>
      <c r="AM9"/>
    </row>
    <row r="10" spans="1:42" ht="15" x14ac:dyDescent="0.25">
      <c r="A10" s="1">
        <f t="shared" si="0"/>
        <v>20</v>
      </c>
      <c r="B10" s="8" t="s">
        <v>105</v>
      </c>
      <c r="C10" s="9" t="s">
        <v>287</v>
      </c>
      <c r="D10" s="9" t="s">
        <v>339</v>
      </c>
      <c r="E10" s="10" t="s">
        <v>286</v>
      </c>
      <c r="F10" s="11" t="s">
        <v>22</v>
      </c>
      <c r="M10" s="23">
        <v>20005</v>
      </c>
      <c r="N10" s="24" t="s">
        <v>345</v>
      </c>
      <c r="AA10"/>
      <c r="AB10"/>
      <c r="AC10"/>
      <c r="AE10" s="28">
        <v>40</v>
      </c>
      <c r="AF10">
        <v>40</v>
      </c>
      <c r="AH10"/>
      <c r="AI10"/>
      <c r="AJ10"/>
      <c r="AL10"/>
      <c r="AM10"/>
    </row>
    <row r="11" spans="1:42" ht="15" x14ac:dyDescent="0.25">
      <c r="A11" s="1">
        <f t="shared" si="0"/>
        <v>20</v>
      </c>
      <c r="B11" s="8" t="s">
        <v>109</v>
      </c>
      <c r="C11" s="9" t="s">
        <v>289</v>
      </c>
      <c r="D11" s="9" t="s">
        <v>339</v>
      </c>
      <c r="E11" s="10" t="s">
        <v>288</v>
      </c>
      <c r="F11" s="11" t="s">
        <v>22</v>
      </c>
      <c r="M11" s="21">
        <v>20006</v>
      </c>
      <c r="N11" s="22" t="s">
        <v>346</v>
      </c>
      <c r="AA11"/>
      <c r="AB11"/>
      <c r="AC11"/>
      <c r="AE11" s="28">
        <v>41</v>
      </c>
      <c r="AF11">
        <v>41</v>
      </c>
      <c r="AH11"/>
      <c r="AI11"/>
      <c r="AJ11"/>
      <c r="AL11"/>
      <c r="AM11"/>
    </row>
    <row r="12" spans="1:42" ht="15.75" thickBot="1" x14ac:dyDescent="0.3">
      <c r="A12" s="1">
        <f t="shared" si="0"/>
        <v>20</v>
      </c>
      <c r="B12" s="8" t="s">
        <v>347</v>
      </c>
      <c r="C12" s="9" t="s">
        <v>348</v>
      </c>
      <c r="D12" s="9" t="s">
        <v>327</v>
      </c>
      <c r="E12" s="10" t="s">
        <v>349</v>
      </c>
      <c r="F12" s="11" t="s">
        <v>22</v>
      </c>
      <c r="M12" s="23">
        <v>20007</v>
      </c>
      <c r="N12" s="24" t="s">
        <v>350</v>
      </c>
      <c r="Q12" s="1" t="s">
        <v>351</v>
      </c>
      <c r="AA12"/>
      <c r="AB12"/>
      <c r="AC12"/>
      <c r="AE12"/>
      <c r="AF12"/>
      <c r="AH12"/>
      <c r="AI12"/>
      <c r="AJ12"/>
      <c r="AL12"/>
      <c r="AM12"/>
    </row>
    <row r="13" spans="1:42" ht="15" x14ac:dyDescent="0.25">
      <c r="A13" s="1">
        <f t="shared" si="0"/>
        <v>20</v>
      </c>
      <c r="B13" s="8" t="s">
        <v>144</v>
      </c>
      <c r="C13" s="9" t="s">
        <v>306</v>
      </c>
      <c r="D13" s="9" t="s">
        <v>339</v>
      </c>
      <c r="E13" s="10" t="s">
        <v>305</v>
      </c>
      <c r="F13" s="11" t="s">
        <v>22</v>
      </c>
      <c r="M13" s="21">
        <v>20008</v>
      </c>
      <c r="N13" s="22" t="s">
        <v>352</v>
      </c>
      <c r="Q13" s="63" t="s">
        <v>327</v>
      </c>
      <c r="R13" s="57" t="s">
        <v>255</v>
      </c>
      <c r="AA13"/>
      <c r="AB13"/>
      <c r="AC13"/>
      <c r="AE13"/>
      <c r="AF13"/>
      <c r="AH13"/>
      <c r="AI13"/>
      <c r="AJ13"/>
      <c r="AL13"/>
      <c r="AM13"/>
    </row>
    <row r="14" spans="1:42" ht="15.75" thickBot="1" x14ac:dyDescent="0.3">
      <c r="A14" s="1">
        <f t="shared" si="0"/>
        <v>20</v>
      </c>
      <c r="B14" s="8" t="s">
        <v>78</v>
      </c>
      <c r="C14" s="9" t="s">
        <v>272</v>
      </c>
      <c r="D14" s="9" t="s">
        <v>327</v>
      </c>
      <c r="E14" s="10" t="s">
        <v>271</v>
      </c>
      <c r="F14" s="11" t="s">
        <v>22</v>
      </c>
      <c r="M14" s="23">
        <v>20009</v>
      </c>
      <c r="N14" s="24" t="s">
        <v>353</v>
      </c>
      <c r="Q14" s="64" t="s">
        <v>339</v>
      </c>
      <c r="R14" s="62" t="s">
        <v>262</v>
      </c>
      <c r="AA14"/>
      <c r="AB14"/>
      <c r="AC14"/>
      <c r="AE14"/>
      <c r="AF14"/>
      <c r="AH14"/>
      <c r="AI14"/>
      <c r="AJ14"/>
      <c r="AL14"/>
      <c r="AM14"/>
    </row>
    <row r="15" spans="1:42" ht="15" x14ac:dyDescent="0.25">
      <c r="A15" s="1">
        <f t="shared" si="0"/>
        <v>20</v>
      </c>
      <c r="B15" s="8" t="s">
        <v>65</v>
      </c>
      <c r="C15" s="9" t="s">
        <v>266</v>
      </c>
      <c r="D15" s="9" t="s">
        <v>339</v>
      </c>
      <c r="E15" s="10" t="s">
        <v>265</v>
      </c>
      <c r="F15" s="11" t="s">
        <v>22</v>
      </c>
      <c r="M15" s="21">
        <v>30001</v>
      </c>
      <c r="N15" s="22" t="s">
        <v>354</v>
      </c>
      <c r="AA15"/>
      <c r="AB15"/>
      <c r="AC15"/>
      <c r="AE15"/>
      <c r="AF15"/>
      <c r="AH15"/>
      <c r="AI15"/>
      <c r="AJ15"/>
      <c r="AL15"/>
      <c r="AM15"/>
    </row>
    <row r="16" spans="1:42" ht="15" x14ac:dyDescent="0.25">
      <c r="A16" s="1">
        <f t="shared" si="0"/>
        <v>20</v>
      </c>
      <c r="B16" s="8" t="s">
        <v>355</v>
      </c>
      <c r="C16" s="9" t="s">
        <v>356</v>
      </c>
      <c r="D16" s="9" t="s">
        <v>327</v>
      </c>
      <c r="E16" s="10" t="s">
        <v>357</v>
      </c>
      <c r="F16" s="11" t="s">
        <v>22</v>
      </c>
      <c r="M16" s="23">
        <v>30002</v>
      </c>
      <c r="N16" s="24" t="s">
        <v>358</v>
      </c>
      <c r="AA16"/>
      <c r="AB16"/>
      <c r="AC16"/>
      <c r="AE16"/>
      <c r="AF16"/>
      <c r="AH16"/>
      <c r="AI16"/>
      <c r="AJ16"/>
      <c r="AL16"/>
      <c r="AM16"/>
    </row>
    <row r="17" spans="1:39" ht="15.75" thickBot="1" x14ac:dyDescent="0.3">
      <c r="A17" s="1">
        <f t="shared" si="0"/>
        <v>20</v>
      </c>
      <c r="B17" s="8" t="s">
        <v>359</v>
      </c>
      <c r="C17" s="9" t="s">
        <v>360</v>
      </c>
      <c r="D17" s="9" t="s">
        <v>339</v>
      </c>
      <c r="E17" s="10" t="s">
        <v>361</v>
      </c>
      <c r="F17" s="11" t="s">
        <v>22</v>
      </c>
      <c r="M17" s="21">
        <v>30003</v>
      </c>
      <c r="N17" s="22" t="s">
        <v>362</v>
      </c>
      <c r="Q17" s="1" t="s">
        <v>363</v>
      </c>
      <c r="AA17"/>
      <c r="AB17"/>
      <c r="AC17"/>
      <c r="AE17"/>
      <c r="AF17"/>
      <c r="AH17"/>
      <c r="AI17"/>
      <c r="AJ17"/>
      <c r="AL17"/>
      <c r="AM17"/>
    </row>
    <row r="18" spans="1:39" ht="15" x14ac:dyDescent="0.25">
      <c r="A18" s="1">
        <f t="shared" si="0"/>
        <v>20</v>
      </c>
      <c r="B18" s="8" t="s">
        <v>212</v>
      </c>
      <c r="C18" s="9" t="s">
        <v>364</v>
      </c>
      <c r="D18" s="9" t="s">
        <v>339</v>
      </c>
      <c r="E18" s="10" t="s">
        <v>365</v>
      </c>
      <c r="F18" s="11" t="s">
        <v>22</v>
      </c>
      <c r="M18" s="23">
        <v>30004</v>
      </c>
      <c r="N18" s="24" t="s">
        <v>366</v>
      </c>
      <c r="Q18" s="72"/>
      <c r="R18" s="73"/>
      <c r="S18" s="74"/>
      <c r="AA18"/>
      <c r="AB18"/>
      <c r="AC18"/>
      <c r="AE18"/>
      <c r="AF18"/>
      <c r="AH18"/>
      <c r="AI18"/>
      <c r="AJ18"/>
      <c r="AL18"/>
      <c r="AM18"/>
    </row>
    <row r="19" spans="1:39" ht="15" x14ac:dyDescent="0.25">
      <c r="A19" s="1">
        <f t="shared" si="0"/>
        <v>20</v>
      </c>
      <c r="B19" s="8" t="s">
        <v>210</v>
      </c>
      <c r="C19" s="9" t="s">
        <v>367</v>
      </c>
      <c r="D19" s="9" t="s">
        <v>339</v>
      </c>
      <c r="E19" s="10" t="s">
        <v>368</v>
      </c>
      <c r="F19" s="11" t="s">
        <v>22</v>
      </c>
      <c r="M19" s="21">
        <v>30005</v>
      </c>
      <c r="N19" s="22" t="s">
        <v>369</v>
      </c>
      <c r="Q19" s="68" t="s">
        <v>270</v>
      </c>
      <c r="R19" s="68" t="s">
        <v>103</v>
      </c>
      <c r="S19" s="69" t="s">
        <v>270</v>
      </c>
      <c r="AA19"/>
      <c r="AB19"/>
      <c r="AC19"/>
      <c r="AE19"/>
      <c r="AF19"/>
      <c r="AH19"/>
      <c r="AI19"/>
      <c r="AJ19"/>
      <c r="AL19"/>
      <c r="AM19"/>
    </row>
    <row r="20" spans="1:39" ht="15" x14ac:dyDescent="0.25">
      <c r="A20" s="1">
        <f t="shared" si="0"/>
        <v>20</v>
      </c>
      <c r="B20" s="8" t="s">
        <v>370</v>
      </c>
      <c r="C20" s="9" t="s">
        <v>371</v>
      </c>
      <c r="D20" s="9" t="s">
        <v>327</v>
      </c>
      <c r="E20" s="10" t="s">
        <v>372</v>
      </c>
      <c r="F20" s="11" t="s">
        <v>22</v>
      </c>
      <c r="M20" s="23">
        <v>30006</v>
      </c>
      <c r="N20" s="24" t="s">
        <v>373</v>
      </c>
      <c r="Q20" s="68" t="s">
        <v>374</v>
      </c>
      <c r="R20" s="68" t="s">
        <v>85</v>
      </c>
      <c r="S20" s="69" t="s">
        <v>270</v>
      </c>
      <c r="AA20"/>
      <c r="AB20"/>
      <c r="AC20"/>
      <c r="AE20"/>
      <c r="AF20"/>
      <c r="AH20"/>
      <c r="AI20"/>
      <c r="AJ20"/>
      <c r="AL20"/>
      <c r="AM20"/>
    </row>
    <row r="21" spans="1:39" ht="15" x14ac:dyDescent="0.25">
      <c r="A21" s="1">
        <f t="shared" si="0"/>
        <v>20</v>
      </c>
      <c r="B21" s="8" t="s">
        <v>375</v>
      </c>
      <c r="C21" s="9" t="s">
        <v>376</v>
      </c>
      <c r="D21" s="40" t="s">
        <v>327</v>
      </c>
      <c r="E21" s="10" t="s">
        <v>377</v>
      </c>
      <c r="F21" s="11" t="s">
        <v>22</v>
      </c>
      <c r="M21" s="21">
        <v>30007</v>
      </c>
      <c r="N21" s="22" t="s">
        <v>378</v>
      </c>
      <c r="Q21" s="68" t="s">
        <v>258</v>
      </c>
      <c r="R21" s="68" t="s">
        <v>18</v>
      </c>
      <c r="S21" s="69" t="s">
        <v>258</v>
      </c>
      <c r="AA21"/>
      <c r="AB21"/>
      <c r="AC21"/>
      <c r="AE21"/>
      <c r="AF21"/>
      <c r="AH21"/>
      <c r="AI21"/>
      <c r="AJ21"/>
      <c r="AL21"/>
      <c r="AM21"/>
    </row>
    <row r="22" spans="1:39" ht="15" x14ac:dyDescent="0.25">
      <c r="A22" s="1">
        <f t="shared" si="0"/>
        <v>20</v>
      </c>
      <c r="B22" s="8" t="s">
        <v>156</v>
      </c>
      <c r="C22" s="9" t="s">
        <v>291</v>
      </c>
      <c r="D22" s="9" t="s">
        <v>327</v>
      </c>
      <c r="E22" s="10" t="s">
        <v>290</v>
      </c>
      <c r="F22" s="11" t="s">
        <v>22</v>
      </c>
      <c r="M22" s="23">
        <v>30008</v>
      </c>
      <c r="N22" s="24" t="s">
        <v>379</v>
      </c>
      <c r="Q22" s="68" t="s">
        <v>380</v>
      </c>
      <c r="R22" s="68" t="s">
        <v>68</v>
      </c>
      <c r="S22" s="69" t="s">
        <v>270</v>
      </c>
      <c r="AA22"/>
      <c r="AB22"/>
      <c r="AH22"/>
      <c r="AI22"/>
    </row>
    <row r="23" spans="1:39" ht="15" x14ac:dyDescent="0.25">
      <c r="A23" s="1">
        <f t="shared" si="0"/>
        <v>20</v>
      </c>
      <c r="B23" s="8" t="s">
        <v>161</v>
      </c>
      <c r="C23" s="9" t="s">
        <v>320</v>
      </c>
      <c r="D23" s="9" t="s">
        <v>327</v>
      </c>
      <c r="E23" s="10" t="s">
        <v>381</v>
      </c>
      <c r="F23" s="11" t="s">
        <v>22</v>
      </c>
      <c r="M23" s="21">
        <v>30009</v>
      </c>
      <c r="N23" s="22" t="s">
        <v>382</v>
      </c>
      <c r="Q23" s="68" t="s">
        <v>259</v>
      </c>
      <c r="R23" s="68" t="s">
        <v>383</v>
      </c>
      <c r="S23" s="69" t="s">
        <v>259</v>
      </c>
      <c r="AA23"/>
      <c r="AB23"/>
      <c r="AH23"/>
      <c r="AI23"/>
    </row>
    <row r="24" spans="1:39" ht="15" x14ac:dyDescent="0.25">
      <c r="A24" s="1">
        <f t="shared" si="0"/>
        <v>20</v>
      </c>
      <c r="B24" s="8" t="s">
        <v>384</v>
      </c>
      <c r="C24" s="9" t="s">
        <v>385</v>
      </c>
      <c r="D24" s="9" t="s">
        <v>327</v>
      </c>
      <c r="E24" s="10" t="s">
        <v>386</v>
      </c>
      <c r="F24" s="11" t="s">
        <v>22</v>
      </c>
      <c r="M24" s="23">
        <v>30010</v>
      </c>
      <c r="N24" s="24" t="s">
        <v>387</v>
      </c>
      <c r="Q24" s="68" t="s">
        <v>254</v>
      </c>
      <c r="R24" s="68" t="s">
        <v>41</v>
      </c>
      <c r="S24" s="69" t="s">
        <v>270</v>
      </c>
      <c r="AA24"/>
      <c r="AB24"/>
      <c r="AH24"/>
      <c r="AI24"/>
    </row>
    <row r="25" spans="1:39" ht="15.75" thickBot="1" x14ac:dyDescent="0.3">
      <c r="A25" s="1">
        <f t="shared" si="0"/>
        <v>20</v>
      </c>
      <c r="B25" s="8" t="s">
        <v>177</v>
      </c>
      <c r="C25" s="9" t="s">
        <v>388</v>
      </c>
      <c r="D25" s="9" t="s">
        <v>339</v>
      </c>
      <c r="E25" s="10" t="s">
        <v>389</v>
      </c>
      <c r="F25" s="11" t="s">
        <v>22</v>
      </c>
      <c r="M25" s="21">
        <v>30011</v>
      </c>
      <c r="N25" s="22" t="s">
        <v>390</v>
      </c>
      <c r="Q25" s="70" t="s">
        <v>260</v>
      </c>
      <c r="R25" s="70" t="s">
        <v>175</v>
      </c>
      <c r="S25" s="71" t="s">
        <v>270</v>
      </c>
      <c r="AA25"/>
      <c r="AB25"/>
      <c r="AH25"/>
      <c r="AI25"/>
    </row>
    <row r="26" spans="1:39" ht="15" x14ac:dyDescent="0.25">
      <c r="A26" s="1">
        <f t="shared" si="0"/>
        <v>20</v>
      </c>
      <c r="B26" s="8" t="s">
        <v>391</v>
      </c>
      <c r="C26" s="9" t="s">
        <v>392</v>
      </c>
      <c r="D26" s="9" t="s">
        <v>327</v>
      </c>
      <c r="E26" s="10" t="s">
        <v>393</v>
      </c>
      <c r="F26" s="11" t="s">
        <v>22</v>
      </c>
      <c r="M26" s="23">
        <v>30012</v>
      </c>
      <c r="N26" s="24" t="s">
        <v>394</v>
      </c>
      <c r="AA26"/>
      <c r="AB26"/>
      <c r="AH26"/>
      <c r="AI26"/>
    </row>
    <row r="27" spans="1:39" ht="15" x14ac:dyDescent="0.25">
      <c r="A27" s="1">
        <f t="shared" si="0"/>
        <v>20</v>
      </c>
      <c r="B27" s="8" t="s">
        <v>197</v>
      </c>
      <c r="C27" s="9" t="s">
        <v>395</v>
      </c>
      <c r="D27" s="9" t="s">
        <v>327</v>
      </c>
      <c r="E27" s="10" t="s">
        <v>396</v>
      </c>
      <c r="F27" s="11" t="s">
        <v>22</v>
      </c>
      <c r="M27" s="21">
        <v>30013</v>
      </c>
      <c r="N27" s="22" t="s">
        <v>397</v>
      </c>
      <c r="AA27"/>
      <c r="AB27"/>
      <c r="AH27"/>
      <c r="AI27"/>
    </row>
    <row r="28" spans="1:39" ht="15.75" thickBot="1" x14ac:dyDescent="0.3">
      <c r="A28" s="1">
        <f t="shared" si="0"/>
        <v>20</v>
      </c>
      <c r="B28" s="8" t="s">
        <v>398</v>
      </c>
      <c r="C28" s="9" t="s">
        <v>399</v>
      </c>
      <c r="D28" s="9" t="s">
        <v>327</v>
      </c>
      <c r="E28" s="10" t="s">
        <v>400</v>
      </c>
      <c r="F28" s="11" t="s">
        <v>22</v>
      </c>
      <c r="M28" s="23">
        <v>30014</v>
      </c>
      <c r="N28" s="24" t="s">
        <v>401</v>
      </c>
      <c r="AA28"/>
      <c r="AB28"/>
      <c r="AH28"/>
      <c r="AI28"/>
    </row>
    <row r="29" spans="1:39" ht="15" x14ac:dyDescent="0.25">
      <c r="A29" s="1">
        <f t="shared" si="0"/>
        <v>20</v>
      </c>
      <c r="B29" s="8" t="s">
        <v>402</v>
      </c>
      <c r="C29" s="9" t="s">
        <v>403</v>
      </c>
      <c r="D29" s="9" t="s">
        <v>339</v>
      </c>
      <c r="E29" s="10" t="s">
        <v>404</v>
      </c>
      <c r="F29" s="11" t="s">
        <v>22</v>
      </c>
      <c r="M29" s="21">
        <v>30015</v>
      </c>
      <c r="N29" s="22" t="s">
        <v>405</v>
      </c>
      <c r="Q29" s="75" t="s">
        <v>22</v>
      </c>
      <c r="AA29"/>
      <c r="AB29"/>
      <c r="AH29"/>
      <c r="AI29"/>
    </row>
    <row r="30" spans="1:39" ht="15.75" thickBot="1" x14ac:dyDescent="0.3">
      <c r="A30" s="1">
        <f t="shared" si="0"/>
        <v>20</v>
      </c>
      <c r="B30" s="8" t="s">
        <v>406</v>
      </c>
      <c r="C30" s="9" t="s">
        <v>407</v>
      </c>
      <c r="D30" s="9" t="s">
        <v>327</v>
      </c>
      <c r="E30" s="10" t="s">
        <v>408</v>
      </c>
      <c r="F30" s="11" t="s">
        <v>22</v>
      </c>
      <c r="M30" s="23">
        <v>30016</v>
      </c>
      <c r="N30" s="24" t="s">
        <v>409</v>
      </c>
      <c r="Q30" s="76" t="s">
        <v>27</v>
      </c>
      <c r="AA30"/>
      <c r="AB30"/>
      <c r="AH30"/>
      <c r="AI30"/>
    </row>
    <row r="31" spans="1:39" ht="15" x14ac:dyDescent="0.25">
      <c r="A31" s="1">
        <f t="shared" si="0"/>
        <v>20</v>
      </c>
      <c r="B31" s="8" t="s">
        <v>410</v>
      </c>
      <c r="C31" s="9" t="s">
        <v>411</v>
      </c>
      <c r="D31" s="9" t="s">
        <v>327</v>
      </c>
      <c r="E31" s="10" t="s">
        <v>412</v>
      </c>
      <c r="F31" s="11" t="s">
        <v>22</v>
      </c>
      <c r="M31" s="21">
        <v>30017</v>
      </c>
      <c r="N31" s="22" t="s">
        <v>413</v>
      </c>
      <c r="AA31"/>
      <c r="AB31"/>
      <c r="AH31"/>
      <c r="AI31"/>
    </row>
    <row r="32" spans="1:39" ht="15" x14ac:dyDescent="0.25">
      <c r="A32" s="1">
        <f t="shared" si="0"/>
        <v>20</v>
      </c>
      <c r="B32" s="8" t="s">
        <v>414</v>
      </c>
      <c r="C32" s="9" t="s">
        <v>415</v>
      </c>
      <c r="D32" s="9" t="s">
        <v>327</v>
      </c>
      <c r="E32" s="10" t="s">
        <v>416</v>
      </c>
      <c r="F32" s="11" t="s">
        <v>22</v>
      </c>
      <c r="M32" s="23">
        <v>30018</v>
      </c>
      <c r="N32" s="24" t="s">
        <v>417</v>
      </c>
      <c r="AA32"/>
      <c r="AB32"/>
      <c r="AH32"/>
      <c r="AI32"/>
    </row>
    <row r="33" spans="1:35" ht="15" x14ac:dyDescent="0.25">
      <c r="A33" s="1">
        <f t="shared" si="0"/>
        <v>20</v>
      </c>
      <c r="B33" s="8" t="s">
        <v>418</v>
      </c>
      <c r="C33" s="9" t="s">
        <v>419</v>
      </c>
      <c r="D33" s="9" t="s">
        <v>327</v>
      </c>
      <c r="E33" s="10" t="s">
        <v>420</v>
      </c>
      <c r="F33" s="11" t="s">
        <v>22</v>
      </c>
      <c r="M33" s="21">
        <v>40001</v>
      </c>
      <c r="N33" s="22" t="s">
        <v>421</v>
      </c>
      <c r="AA33"/>
      <c r="AB33"/>
      <c r="AH33"/>
      <c r="AI33"/>
    </row>
    <row r="34" spans="1:35" ht="15" x14ac:dyDescent="0.25">
      <c r="A34" s="1">
        <f t="shared" si="0"/>
        <v>20</v>
      </c>
      <c r="B34" s="8" t="s">
        <v>422</v>
      </c>
      <c r="C34" s="9" t="s">
        <v>423</v>
      </c>
      <c r="D34" s="9" t="s">
        <v>327</v>
      </c>
      <c r="E34" s="10" t="s">
        <v>424</v>
      </c>
      <c r="F34" s="11" t="s">
        <v>22</v>
      </c>
      <c r="M34" s="23">
        <v>40002</v>
      </c>
      <c r="N34" s="24" t="s">
        <v>425</v>
      </c>
      <c r="Q34" s="1" t="s">
        <v>426</v>
      </c>
      <c r="AA34"/>
      <c r="AB34"/>
      <c r="AH34"/>
      <c r="AI34"/>
    </row>
    <row r="35" spans="1:35" ht="15" x14ac:dyDescent="0.25">
      <c r="A35" s="1">
        <f t="shared" si="0"/>
        <v>20</v>
      </c>
      <c r="B35" s="8" t="s">
        <v>427</v>
      </c>
      <c r="C35" s="9" t="s">
        <v>428</v>
      </c>
      <c r="D35" s="9" t="s">
        <v>339</v>
      </c>
      <c r="E35" s="10" t="s">
        <v>429</v>
      </c>
      <c r="F35" s="11" t="s">
        <v>22</v>
      </c>
      <c r="M35" s="21">
        <v>40003</v>
      </c>
      <c r="N35" s="22" t="s">
        <v>430</v>
      </c>
      <c r="Q35" s="1" t="s">
        <v>431</v>
      </c>
      <c r="AA35"/>
      <c r="AB35"/>
      <c r="AH35"/>
      <c r="AI35"/>
    </row>
    <row r="36" spans="1:35" ht="15" x14ac:dyDescent="0.25">
      <c r="A36" s="1">
        <f t="shared" si="0"/>
        <v>20</v>
      </c>
      <c r="B36" s="8" t="s">
        <v>432</v>
      </c>
      <c r="C36" s="9" t="s">
        <v>433</v>
      </c>
      <c r="D36" s="9" t="s">
        <v>327</v>
      </c>
      <c r="E36" s="10" t="s">
        <v>434</v>
      </c>
      <c r="F36" s="11" t="s">
        <v>22</v>
      </c>
      <c r="M36" s="23">
        <v>40004</v>
      </c>
      <c r="N36" s="24" t="s">
        <v>435</v>
      </c>
      <c r="Q36" s="1" t="s">
        <v>217</v>
      </c>
      <c r="AA36"/>
      <c r="AB36"/>
      <c r="AH36"/>
      <c r="AI36"/>
    </row>
    <row r="37" spans="1:35" ht="15" x14ac:dyDescent="0.25">
      <c r="A37" s="1">
        <f t="shared" si="0"/>
        <v>20</v>
      </c>
      <c r="B37" s="8" t="s">
        <v>436</v>
      </c>
      <c r="C37" s="9" t="s">
        <v>437</v>
      </c>
      <c r="D37" s="9" t="s">
        <v>327</v>
      </c>
      <c r="E37" s="10" t="s">
        <v>438</v>
      </c>
      <c r="F37" s="11" t="s">
        <v>22</v>
      </c>
      <c r="M37" s="21">
        <v>40005</v>
      </c>
      <c r="N37" s="22" t="s">
        <v>439</v>
      </c>
      <c r="Q37" s="1" t="s">
        <v>440</v>
      </c>
      <c r="AA37"/>
      <c r="AB37"/>
      <c r="AH37"/>
      <c r="AI37"/>
    </row>
    <row r="38" spans="1:35" ht="15" x14ac:dyDescent="0.25">
      <c r="A38" s="1">
        <f t="shared" si="0"/>
        <v>20</v>
      </c>
      <c r="B38" s="8" t="s">
        <v>441</v>
      </c>
      <c r="C38" s="9" t="s">
        <v>442</v>
      </c>
      <c r="D38" s="9" t="s">
        <v>327</v>
      </c>
      <c r="E38" s="10" t="s">
        <v>443</v>
      </c>
      <c r="F38" s="11" t="s">
        <v>22</v>
      </c>
      <c r="M38" s="23">
        <v>40006</v>
      </c>
      <c r="N38" s="24" t="s">
        <v>444</v>
      </c>
      <c r="Q38" s="1" t="s">
        <v>445</v>
      </c>
      <c r="AA38"/>
      <c r="AB38"/>
      <c r="AH38"/>
      <c r="AI38"/>
    </row>
    <row r="39" spans="1:35" ht="15" x14ac:dyDescent="0.25">
      <c r="A39" s="1">
        <f t="shared" si="0"/>
        <v>20</v>
      </c>
      <c r="B39" s="8" t="s">
        <v>446</v>
      </c>
      <c r="C39" s="9" t="s">
        <v>447</v>
      </c>
      <c r="D39" s="9" t="s">
        <v>327</v>
      </c>
      <c r="E39" s="10" t="s">
        <v>448</v>
      </c>
      <c r="F39" s="11" t="s">
        <v>22</v>
      </c>
      <c r="M39" s="21">
        <v>40007</v>
      </c>
      <c r="N39" s="22" t="s">
        <v>449</v>
      </c>
      <c r="Q39" s="1" t="s">
        <v>24</v>
      </c>
      <c r="AA39"/>
      <c r="AB39"/>
      <c r="AH39"/>
      <c r="AI39"/>
    </row>
    <row r="40" spans="1:35" ht="15" x14ac:dyDescent="0.25">
      <c r="A40" s="1">
        <f t="shared" si="0"/>
        <v>20</v>
      </c>
      <c r="B40" s="8" t="s">
        <v>450</v>
      </c>
      <c r="C40" s="9" t="s">
        <v>451</v>
      </c>
      <c r="D40" s="9" t="s">
        <v>327</v>
      </c>
      <c r="E40" s="10" t="s">
        <v>452</v>
      </c>
      <c r="F40" s="11" t="s">
        <v>22</v>
      </c>
      <c r="M40" s="23">
        <v>40008</v>
      </c>
      <c r="N40" s="24" t="s">
        <v>453</v>
      </c>
      <c r="Q40" s="1" t="s">
        <v>1247</v>
      </c>
      <c r="AA40"/>
      <c r="AB40"/>
      <c r="AH40"/>
      <c r="AI40"/>
    </row>
    <row r="41" spans="1:35" ht="15" x14ac:dyDescent="0.25">
      <c r="A41" s="1">
        <f t="shared" si="0"/>
        <v>20</v>
      </c>
      <c r="B41" s="8" t="s">
        <v>182</v>
      </c>
      <c r="C41" s="9" t="s">
        <v>454</v>
      </c>
      <c r="D41" s="9" t="s">
        <v>327</v>
      </c>
      <c r="E41" s="10" t="s">
        <v>455</v>
      </c>
      <c r="F41" s="11" t="s">
        <v>22</v>
      </c>
      <c r="M41" s="21">
        <v>40009</v>
      </c>
      <c r="N41" s="25" t="s">
        <v>456</v>
      </c>
      <c r="AA41"/>
      <c r="AB41"/>
      <c r="AH41"/>
      <c r="AI41"/>
    </row>
    <row r="42" spans="1:35" ht="15" x14ac:dyDescent="0.25">
      <c r="A42" s="1">
        <f t="shared" si="0"/>
        <v>20</v>
      </c>
      <c r="B42" s="8" t="s">
        <v>457</v>
      </c>
      <c r="C42" s="9" t="s">
        <v>458</v>
      </c>
      <c r="D42" s="9" t="s">
        <v>339</v>
      </c>
      <c r="E42" s="10" t="s">
        <v>459</v>
      </c>
      <c r="F42" s="11" t="s">
        <v>22</v>
      </c>
      <c r="M42" s="23">
        <v>40010</v>
      </c>
      <c r="N42" s="24" t="s">
        <v>460</v>
      </c>
      <c r="AA42"/>
      <c r="AB42"/>
      <c r="AH42"/>
      <c r="AI42"/>
    </row>
    <row r="43" spans="1:35" ht="15" x14ac:dyDescent="0.25">
      <c r="A43" s="1">
        <f t="shared" si="0"/>
        <v>20</v>
      </c>
      <c r="B43" s="8" t="s">
        <v>461</v>
      </c>
      <c r="C43" s="9" t="s">
        <v>462</v>
      </c>
      <c r="D43" s="9" t="s">
        <v>339</v>
      </c>
      <c r="E43" s="10" t="s">
        <v>463</v>
      </c>
      <c r="F43" s="11" t="s">
        <v>22</v>
      </c>
      <c r="M43" s="21">
        <v>40011</v>
      </c>
      <c r="N43" s="22" t="s">
        <v>464</v>
      </c>
      <c r="AA43"/>
      <c r="AB43"/>
      <c r="AH43"/>
      <c r="AI43"/>
    </row>
    <row r="44" spans="1:35" ht="15" x14ac:dyDescent="0.25">
      <c r="A44" s="1">
        <f t="shared" si="0"/>
        <v>20</v>
      </c>
      <c r="B44" s="8" t="s">
        <v>465</v>
      </c>
      <c r="C44" s="9" t="s">
        <v>466</v>
      </c>
      <c r="D44" s="9" t="s">
        <v>327</v>
      </c>
      <c r="E44" s="10" t="s">
        <v>467</v>
      </c>
      <c r="F44" s="11" t="s">
        <v>22</v>
      </c>
      <c r="M44" s="23">
        <v>40012</v>
      </c>
      <c r="N44" s="24" t="s">
        <v>468</v>
      </c>
      <c r="AA44"/>
      <c r="AB44"/>
      <c r="AH44"/>
      <c r="AI44"/>
    </row>
    <row r="45" spans="1:35" ht="15" x14ac:dyDescent="0.25">
      <c r="A45" s="1">
        <f t="shared" si="0"/>
        <v>20</v>
      </c>
      <c r="B45" s="8" t="s">
        <v>469</v>
      </c>
      <c r="C45" s="9" t="s">
        <v>470</v>
      </c>
      <c r="D45" s="9" t="s">
        <v>339</v>
      </c>
      <c r="E45" s="10" t="s">
        <v>471</v>
      </c>
      <c r="F45" s="11" t="s">
        <v>22</v>
      </c>
      <c r="M45" s="21">
        <v>40013</v>
      </c>
      <c r="N45" s="22" t="s">
        <v>472</v>
      </c>
      <c r="AA45"/>
      <c r="AB45"/>
      <c r="AH45"/>
      <c r="AI45"/>
    </row>
    <row r="46" spans="1:35" ht="15" x14ac:dyDescent="0.25">
      <c r="A46" s="1">
        <f t="shared" si="0"/>
        <v>20</v>
      </c>
      <c r="B46" s="8" t="s">
        <v>473</v>
      </c>
      <c r="C46" s="9" t="s">
        <v>474</v>
      </c>
      <c r="D46" s="9" t="s">
        <v>327</v>
      </c>
      <c r="E46" s="10" t="s">
        <v>475</v>
      </c>
      <c r="F46" s="11" t="s">
        <v>22</v>
      </c>
      <c r="M46" s="23">
        <v>40014</v>
      </c>
      <c r="N46" s="24" t="s">
        <v>476</v>
      </c>
      <c r="AA46"/>
      <c r="AB46"/>
      <c r="AH46"/>
      <c r="AI46"/>
    </row>
    <row r="47" spans="1:35" ht="15" x14ac:dyDescent="0.25">
      <c r="A47" s="1">
        <f t="shared" si="0"/>
        <v>20</v>
      </c>
      <c r="B47" s="8" t="s">
        <v>477</v>
      </c>
      <c r="C47" s="9" t="s">
        <v>478</v>
      </c>
      <c r="D47" s="9" t="s">
        <v>327</v>
      </c>
      <c r="E47" s="10" t="s">
        <v>479</v>
      </c>
      <c r="F47" s="11" t="s">
        <v>22</v>
      </c>
      <c r="M47" s="21">
        <v>40015</v>
      </c>
      <c r="N47" s="22" t="s">
        <v>480</v>
      </c>
      <c r="Q47" s="1" t="s">
        <v>1092</v>
      </c>
      <c r="AA47"/>
      <c r="AB47"/>
      <c r="AH47"/>
      <c r="AI47"/>
    </row>
    <row r="48" spans="1:35" ht="15" x14ac:dyDescent="0.25">
      <c r="A48" s="1">
        <f t="shared" si="0"/>
        <v>20</v>
      </c>
      <c r="B48" s="8" t="s">
        <v>481</v>
      </c>
      <c r="C48" s="9" t="s">
        <v>482</v>
      </c>
      <c r="D48" s="9" t="s">
        <v>327</v>
      </c>
      <c r="E48" s="10" t="s">
        <v>483</v>
      </c>
      <c r="F48" s="11" t="s">
        <v>22</v>
      </c>
      <c r="M48" s="23">
        <v>40016</v>
      </c>
      <c r="N48" s="24" t="s">
        <v>484</v>
      </c>
      <c r="Q48" s="1" t="s">
        <v>1093</v>
      </c>
      <c r="AA48"/>
      <c r="AB48"/>
      <c r="AH48"/>
      <c r="AI48"/>
    </row>
    <row r="49" spans="1:35" ht="15" x14ac:dyDescent="0.25">
      <c r="A49" s="1">
        <f t="shared" si="0"/>
        <v>20</v>
      </c>
      <c r="B49" s="8" t="s">
        <v>485</v>
      </c>
      <c r="C49" s="9" t="s">
        <v>486</v>
      </c>
      <c r="D49" s="9" t="s">
        <v>327</v>
      </c>
      <c r="E49" s="10" t="s">
        <v>487</v>
      </c>
      <c r="F49" s="11" t="s">
        <v>22</v>
      </c>
      <c r="M49" s="21">
        <v>40017</v>
      </c>
      <c r="N49" s="22" t="s">
        <v>488</v>
      </c>
      <c r="Q49" s="1" t="s">
        <v>1094</v>
      </c>
      <c r="AA49"/>
      <c r="AB49"/>
      <c r="AH49"/>
      <c r="AI49"/>
    </row>
    <row r="50" spans="1:35" ht="15" x14ac:dyDescent="0.25">
      <c r="A50" s="1">
        <f t="shared" si="0"/>
        <v>20</v>
      </c>
      <c r="B50" s="8" t="s">
        <v>489</v>
      </c>
      <c r="C50" s="9" t="s">
        <v>490</v>
      </c>
      <c r="D50" s="9" t="s">
        <v>327</v>
      </c>
      <c r="E50" s="10" t="s">
        <v>491</v>
      </c>
      <c r="F50" s="11" t="s">
        <v>22</v>
      </c>
      <c r="M50" s="23">
        <v>40018</v>
      </c>
      <c r="N50" s="24" t="s">
        <v>492</v>
      </c>
      <c r="AA50"/>
      <c r="AB50"/>
      <c r="AH50"/>
      <c r="AI50"/>
    </row>
    <row r="51" spans="1:35" ht="15" x14ac:dyDescent="0.25">
      <c r="A51" s="1">
        <f t="shared" si="0"/>
        <v>20</v>
      </c>
      <c r="B51" s="8">
        <v>47129404</v>
      </c>
      <c r="C51" s="9" t="s">
        <v>493</v>
      </c>
      <c r="D51" s="9" t="s">
        <v>327</v>
      </c>
      <c r="E51" s="10" t="s">
        <v>494</v>
      </c>
      <c r="F51" s="11" t="s">
        <v>22</v>
      </c>
      <c r="M51" s="21">
        <v>40019</v>
      </c>
      <c r="N51" s="22" t="s">
        <v>495</v>
      </c>
      <c r="AA51"/>
      <c r="AB51"/>
      <c r="AH51"/>
      <c r="AI51"/>
    </row>
    <row r="52" spans="1:35" ht="15" x14ac:dyDescent="0.25">
      <c r="A52" s="1">
        <f t="shared" si="0"/>
        <v>20</v>
      </c>
      <c r="B52" s="8" t="s">
        <v>195</v>
      </c>
      <c r="C52" s="9" t="s">
        <v>496</v>
      </c>
      <c r="D52" s="9" t="s">
        <v>327</v>
      </c>
      <c r="E52" s="10" t="s">
        <v>497</v>
      </c>
      <c r="F52" s="11" t="s">
        <v>22</v>
      </c>
      <c r="M52" s="23">
        <v>40020</v>
      </c>
      <c r="N52" s="24" t="s">
        <v>498</v>
      </c>
      <c r="AA52"/>
      <c r="AB52"/>
      <c r="AH52"/>
      <c r="AI52"/>
    </row>
    <row r="53" spans="1:35" ht="15" x14ac:dyDescent="0.25">
      <c r="A53" s="1">
        <f t="shared" si="0"/>
        <v>20</v>
      </c>
      <c r="B53" s="8">
        <v>70887469</v>
      </c>
      <c r="C53" s="9" t="s">
        <v>499</v>
      </c>
      <c r="D53" s="9" t="s">
        <v>327</v>
      </c>
      <c r="E53" s="10" t="s">
        <v>500</v>
      </c>
      <c r="F53" s="11" t="s">
        <v>22</v>
      </c>
      <c r="M53" s="21">
        <v>50101</v>
      </c>
      <c r="N53" s="22" t="s">
        <v>501</v>
      </c>
      <c r="AA53"/>
      <c r="AB53"/>
      <c r="AH53"/>
      <c r="AI53"/>
    </row>
    <row r="54" spans="1:35" ht="15" x14ac:dyDescent="0.25">
      <c r="A54" s="1">
        <f t="shared" si="0"/>
        <v>20</v>
      </c>
      <c r="B54" s="8" t="s">
        <v>502</v>
      </c>
      <c r="C54" s="9" t="s">
        <v>503</v>
      </c>
      <c r="D54" s="9" t="s">
        <v>339</v>
      </c>
      <c r="E54" s="10" t="s">
        <v>504</v>
      </c>
      <c r="F54" s="11" t="s">
        <v>22</v>
      </c>
      <c r="M54" s="23">
        <v>50102</v>
      </c>
      <c r="N54" s="24" t="s">
        <v>505</v>
      </c>
      <c r="AA54"/>
      <c r="AB54"/>
      <c r="AH54"/>
      <c r="AI54"/>
    </row>
    <row r="55" spans="1:35" ht="15" x14ac:dyDescent="0.25">
      <c r="A55" s="1">
        <f t="shared" si="0"/>
        <v>20</v>
      </c>
      <c r="B55" s="8" t="s">
        <v>506</v>
      </c>
      <c r="C55" s="9" t="s">
        <v>507</v>
      </c>
      <c r="D55" s="9" t="s">
        <v>339</v>
      </c>
      <c r="E55" s="10" t="s">
        <v>508</v>
      </c>
      <c r="F55" s="11" t="s">
        <v>22</v>
      </c>
      <c r="M55" s="21">
        <v>50103</v>
      </c>
      <c r="N55" s="22" t="s">
        <v>509</v>
      </c>
      <c r="AA55"/>
      <c r="AB55"/>
      <c r="AH55"/>
      <c r="AI55"/>
    </row>
    <row r="56" spans="1:35" ht="15" x14ac:dyDescent="0.25">
      <c r="A56" s="1">
        <f t="shared" si="0"/>
        <v>20</v>
      </c>
      <c r="B56" s="8" t="s">
        <v>510</v>
      </c>
      <c r="C56" s="9" t="s">
        <v>511</v>
      </c>
      <c r="D56" s="9" t="s">
        <v>327</v>
      </c>
      <c r="E56" s="10" t="s">
        <v>512</v>
      </c>
      <c r="F56" s="11" t="s">
        <v>22</v>
      </c>
      <c r="M56" s="23">
        <v>50104</v>
      </c>
      <c r="N56" s="24" t="s">
        <v>513</v>
      </c>
      <c r="AA56"/>
      <c r="AB56"/>
      <c r="AH56"/>
      <c r="AI56"/>
    </row>
    <row r="57" spans="1:35" ht="15" x14ac:dyDescent="0.25">
      <c r="A57" s="1">
        <f t="shared" si="0"/>
        <v>20</v>
      </c>
      <c r="B57" s="8" t="s">
        <v>514</v>
      </c>
      <c r="C57" s="9" t="s">
        <v>515</v>
      </c>
      <c r="D57" s="9" t="s">
        <v>327</v>
      </c>
      <c r="E57" s="10" t="s">
        <v>516</v>
      </c>
      <c r="F57" s="11" t="s">
        <v>22</v>
      </c>
      <c r="M57" s="21">
        <v>50105</v>
      </c>
      <c r="N57" s="22" t="s">
        <v>517</v>
      </c>
      <c r="AA57"/>
      <c r="AB57"/>
      <c r="AH57"/>
      <c r="AI57"/>
    </row>
    <row r="58" spans="1:35" ht="15" x14ac:dyDescent="0.25">
      <c r="A58" s="1">
        <f t="shared" si="0"/>
        <v>20</v>
      </c>
      <c r="B58" s="8" t="s">
        <v>70</v>
      </c>
      <c r="C58" s="9" t="s">
        <v>269</v>
      </c>
      <c r="D58" s="9" t="s">
        <v>327</v>
      </c>
      <c r="E58" s="10" t="s">
        <v>268</v>
      </c>
      <c r="F58" s="11" t="s">
        <v>22</v>
      </c>
      <c r="M58" s="23">
        <v>50106</v>
      </c>
      <c r="N58" s="24" t="s">
        <v>518</v>
      </c>
      <c r="AA58"/>
      <c r="AB58"/>
      <c r="AH58"/>
      <c r="AI58"/>
    </row>
    <row r="59" spans="1:35" ht="15" x14ac:dyDescent="0.25">
      <c r="A59" s="1">
        <f t="shared" si="0"/>
        <v>20</v>
      </c>
      <c r="B59" s="8" t="s">
        <v>519</v>
      </c>
      <c r="C59" s="9" t="s">
        <v>520</v>
      </c>
      <c r="D59" s="9" t="s">
        <v>327</v>
      </c>
      <c r="E59" s="10" t="s">
        <v>521</v>
      </c>
      <c r="F59" s="11" t="s">
        <v>22</v>
      </c>
      <c r="M59" s="21">
        <v>50107</v>
      </c>
      <c r="N59" s="22" t="s">
        <v>522</v>
      </c>
      <c r="AA59"/>
      <c r="AB59"/>
      <c r="AH59"/>
      <c r="AI59"/>
    </row>
    <row r="60" spans="1:35" ht="15" x14ac:dyDescent="0.25">
      <c r="A60" s="1">
        <f t="shared" si="0"/>
        <v>20</v>
      </c>
      <c r="B60" s="8" t="s">
        <v>98</v>
      </c>
      <c r="C60" s="9" t="s">
        <v>523</v>
      </c>
      <c r="D60" s="9" t="s">
        <v>327</v>
      </c>
      <c r="E60" s="10" t="s">
        <v>524</v>
      </c>
      <c r="F60" s="11" t="s">
        <v>22</v>
      </c>
      <c r="M60" s="23">
        <v>50108</v>
      </c>
      <c r="N60" s="24" t="s">
        <v>525</v>
      </c>
      <c r="AA60"/>
      <c r="AB60"/>
      <c r="AH60"/>
      <c r="AI60"/>
    </row>
    <row r="61" spans="1:35" ht="15" x14ac:dyDescent="0.25">
      <c r="A61" s="1">
        <f t="shared" si="0"/>
        <v>20</v>
      </c>
      <c r="B61" s="8" t="s">
        <v>526</v>
      </c>
      <c r="C61" s="9" t="s">
        <v>527</v>
      </c>
      <c r="D61" s="9" t="s">
        <v>327</v>
      </c>
      <c r="E61" s="10" t="s">
        <v>528</v>
      </c>
      <c r="F61" s="11" t="s">
        <v>22</v>
      </c>
      <c r="M61" s="21">
        <v>50109</v>
      </c>
      <c r="N61" s="22" t="s">
        <v>529</v>
      </c>
      <c r="AA61"/>
      <c r="AB61"/>
      <c r="AH61"/>
      <c r="AI61"/>
    </row>
    <row r="62" spans="1:35" ht="15" x14ac:dyDescent="0.25">
      <c r="A62" s="1">
        <f t="shared" si="0"/>
        <v>20</v>
      </c>
      <c r="B62" s="8" t="s">
        <v>530</v>
      </c>
      <c r="C62" s="9" t="s">
        <v>531</v>
      </c>
      <c r="D62" s="9" t="s">
        <v>327</v>
      </c>
      <c r="E62" s="10" t="s">
        <v>532</v>
      </c>
      <c r="F62" s="11" t="s">
        <v>22</v>
      </c>
      <c r="M62" s="23">
        <v>50201</v>
      </c>
      <c r="N62" s="24" t="s">
        <v>533</v>
      </c>
      <c r="AA62"/>
      <c r="AB62"/>
      <c r="AH62"/>
      <c r="AI62"/>
    </row>
    <row r="63" spans="1:35" ht="15" x14ac:dyDescent="0.25">
      <c r="A63" s="1">
        <f t="shared" si="0"/>
        <v>20</v>
      </c>
      <c r="B63" s="8" t="s">
        <v>534</v>
      </c>
      <c r="C63" s="9" t="s">
        <v>535</v>
      </c>
      <c r="D63" s="9" t="s">
        <v>339</v>
      </c>
      <c r="E63" s="10" t="s">
        <v>536</v>
      </c>
      <c r="F63" s="11" t="s">
        <v>22</v>
      </c>
      <c r="M63" s="21">
        <v>50202</v>
      </c>
      <c r="N63" s="22" t="s">
        <v>537</v>
      </c>
      <c r="AA63"/>
      <c r="AB63"/>
      <c r="AH63"/>
      <c r="AI63"/>
    </row>
    <row r="64" spans="1:35" ht="15" x14ac:dyDescent="0.25">
      <c r="A64" s="1">
        <f t="shared" si="0"/>
        <v>20</v>
      </c>
      <c r="B64" s="8" t="s">
        <v>538</v>
      </c>
      <c r="C64" s="9" t="s">
        <v>539</v>
      </c>
      <c r="D64" s="9" t="s">
        <v>339</v>
      </c>
      <c r="E64" s="10" t="s">
        <v>540</v>
      </c>
      <c r="F64" s="11" t="s">
        <v>22</v>
      </c>
      <c r="M64" s="23">
        <v>50301</v>
      </c>
      <c r="N64" s="24" t="s">
        <v>541</v>
      </c>
      <c r="AA64"/>
      <c r="AB64"/>
      <c r="AH64"/>
      <c r="AI64"/>
    </row>
    <row r="65" spans="1:35" ht="15" x14ac:dyDescent="0.25">
      <c r="A65" s="1">
        <f t="shared" si="0"/>
        <v>20</v>
      </c>
      <c r="B65" s="8" t="s">
        <v>542</v>
      </c>
      <c r="C65" s="9" t="s">
        <v>543</v>
      </c>
      <c r="D65" s="9" t="s">
        <v>327</v>
      </c>
      <c r="E65" s="10" t="s">
        <v>544</v>
      </c>
      <c r="F65" s="11" t="s">
        <v>22</v>
      </c>
      <c r="M65" s="21">
        <v>50302</v>
      </c>
      <c r="N65" s="22" t="s">
        <v>545</v>
      </c>
      <c r="AA65"/>
      <c r="AB65"/>
      <c r="AH65"/>
      <c r="AI65"/>
    </row>
    <row r="66" spans="1:35" ht="15" x14ac:dyDescent="0.25">
      <c r="A66" s="1">
        <f t="shared" si="0"/>
        <v>20</v>
      </c>
      <c r="B66" s="8" t="s">
        <v>546</v>
      </c>
      <c r="C66" s="9" t="s">
        <v>547</v>
      </c>
      <c r="D66" s="9" t="s">
        <v>339</v>
      </c>
      <c r="E66" s="10" t="s">
        <v>548</v>
      </c>
      <c r="F66" s="11" t="s">
        <v>22</v>
      </c>
      <c r="M66" s="23">
        <v>50303</v>
      </c>
      <c r="N66" s="24" t="s">
        <v>549</v>
      </c>
      <c r="AA66"/>
      <c r="AB66"/>
      <c r="AH66"/>
      <c r="AI66"/>
    </row>
    <row r="67" spans="1:35" ht="15" x14ac:dyDescent="0.25">
      <c r="A67" s="1">
        <f t="shared" si="0"/>
        <v>20</v>
      </c>
      <c r="B67" s="8" t="s">
        <v>550</v>
      </c>
      <c r="C67" s="9" t="s">
        <v>551</v>
      </c>
      <c r="D67" s="9" t="s">
        <v>339</v>
      </c>
      <c r="E67" s="10" t="s">
        <v>552</v>
      </c>
      <c r="F67" s="11" t="s">
        <v>22</v>
      </c>
      <c r="M67" s="21">
        <v>50304</v>
      </c>
      <c r="N67" s="22" t="s">
        <v>553</v>
      </c>
      <c r="AA67"/>
      <c r="AB67"/>
      <c r="AH67"/>
      <c r="AI67"/>
    </row>
    <row r="68" spans="1:35" ht="15" x14ac:dyDescent="0.25">
      <c r="A68" s="1">
        <f t="shared" si="0"/>
        <v>20</v>
      </c>
      <c r="B68" s="8" t="s">
        <v>554</v>
      </c>
      <c r="C68" s="9" t="s">
        <v>555</v>
      </c>
      <c r="D68" s="9" t="s">
        <v>339</v>
      </c>
      <c r="E68" s="10" t="s">
        <v>556</v>
      </c>
      <c r="F68" s="11" t="s">
        <v>22</v>
      </c>
      <c r="M68" s="26">
        <v>50305</v>
      </c>
      <c r="N68" s="4" t="s">
        <v>557</v>
      </c>
      <c r="AA68"/>
      <c r="AB68"/>
      <c r="AH68"/>
      <c r="AI68"/>
    </row>
    <row r="69" spans="1:35" ht="15" x14ac:dyDescent="0.25">
      <c r="A69" s="1">
        <f t="shared" ref="A69:A141" si="1">+LEN(E69)</f>
        <v>20</v>
      </c>
      <c r="B69" s="8" t="s">
        <v>558</v>
      </c>
      <c r="C69" s="9" t="s">
        <v>559</v>
      </c>
      <c r="D69" s="9" t="s">
        <v>327</v>
      </c>
      <c r="E69" s="10" t="s">
        <v>560</v>
      </c>
      <c r="F69" s="11" t="s">
        <v>22</v>
      </c>
      <c r="M69" s="23">
        <v>50306</v>
      </c>
      <c r="N69" s="24" t="s">
        <v>561</v>
      </c>
    </row>
    <row r="70" spans="1:35" ht="15" x14ac:dyDescent="0.25">
      <c r="A70" s="1">
        <f t="shared" si="1"/>
        <v>20</v>
      </c>
      <c r="B70" s="8" t="s">
        <v>562</v>
      </c>
      <c r="C70" s="9" t="s">
        <v>563</v>
      </c>
      <c r="D70" s="9" t="s">
        <v>327</v>
      </c>
      <c r="E70" s="10" t="s">
        <v>564</v>
      </c>
      <c r="F70" s="11" t="s">
        <v>22</v>
      </c>
      <c r="M70" s="23">
        <v>50307</v>
      </c>
      <c r="N70" s="24" t="s">
        <v>565</v>
      </c>
    </row>
    <row r="71" spans="1:35" ht="15" x14ac:dyDescent="0.25">
      <c r="A71" s="1">
        <f t="shared" si="1"/>
        <v>20</v>
      </c>
      <c r="B71" s="8" t="s">
        <v>225</v>
      </c>
      <c r="C71" s="9" t="s">
        <v>566</v>
      </c>
      <c r="D71" s="9" t="s">
        <v>339</v>
      </c>
      <c r="E71" s="10" t="s">
        <v>567</v>
      </c>
      <c r="F71" s="11" t="s">
        <v>22</v>
      </c>
      <c r="M71" s="23">
        <v>50308</v>
      </c>
      <c r="N71" s="24" t="s">
        <v>568</v>
      </c>
    </row>
    <row r="72" spans="1:35" ht="15" x14ac:dyDescent="0.25">
      <c r="A72" s="1">
        <f t="shared" si="1"/>
        <v>20</v>
      </c>
      <c r="B72" s="8" t="s">
        <v>569</v>
      </c>
      <c r="C72" s="9" t="s">
        <v>570</v>
      </c>
      <c r="D72" s="9" t="s">
        <v>327</v>
      </c>
      <c r="E72" s="10" t="s">
        <v>571</v>
      </c>
      <c r="F72" s="11" t="s">
        <v>22</v>
      </c>
      <c r="M72" s="23">
        <v>50401</v>
      </c>
      <c r="N72" s="24" t="s">
        <v>572</v>
      </c>
    </row>
    <row r="73" spans="1:35" ht="15" x14ac:dyDescent="0.25">
      <c r="A73" s="1">
        <f t="shared" si="1"/>
        <v>20</v>
      </c>
      <c r="B73" s="8" t="s">
        <v>573</v>
      </c>
      <c r="C73" s="9" t="s">
        <v>574</v>
      </c>
      <c r="D73" s="9" t="s">
        <v>327</v>
      </c>
      <c r="E73" s="10" t="s">
        <v>575</v>
      </c>
      <c r="F73" s="11" t="s">
        <v>22</v>
      </c>
      <c r="M73" s="23">
        <v>50501</v>
      </c>
      <c r="N73" s="24" t="s">
        <v>576</v>
      </c>
    </row>
    <row r="74" spans="1:35" ht="15" x14ac:dyDescent="0.25">
      <c r="A74" s="1">
        <f t="shared" si="1"/>
        <v>20</v>
      </c>
      <c r="B74" s="8" t="s">
        <v>577</v>
      </c>
      <c r="C74" s="9" t="s">
        <v>578</v>
      </c>
      <c r="D74" s="9" t="s">
        <v>339</v>
      </c>
      <c r="E74" s="10" t="s">
        <v>579</v>
      </c>
      <c r="F74" s="11" t="s">
        <v>22</v>
      </c>
      <c r="M74" s="23">
        <v>50502</v>
      </c>
      <c r="N74" s="24" t="s">
        <v>580</v>
      </c>
    </row>
    <row r="75" spans="1:35" ht="15" x14ac:dyDescent="0.25">
      <c r="A75" s="1">
        <f t="shared" si="1"/>
        <v>20</v>
      </c>
      <c r="B75" s="8" t="s">
        <v>581</v>
      </c>
      <c r="C75" s="9" t="s">
        <v>582</v>
      </c>
      <c r="D75" s="9" t="s">
        <v>327</v>
      </c>
      <c r="E75" s="10" t="s">
        <v>583</v>
      </c>
      <c r="F75" s="11" t="s">
        <v>22</v>
      </c>
      <c r="M75" s="23">
        <v>50503</v>
      </c>
      <c r="N75" s="24" t="s">
        <v>584</v>
      </c>
    </row>
    <row r="76" spans="1:35" ht="15" x14ac:dyDescent="0.25">
      <c r="A76" s="1">
        <f t="shared" si="1"/>
        <v>20</v>
      </c>
      <c r="B76" s="8">
        <v>47516862</v>
      </c>
      <c r="C76" s="9" t="s">
        <v>585</v>
      </c>
      <c r="D76" s="9" t="s">
        <v>327</v>
      </c>
      <c r="E76" s="10" t="s">
        <v>586</v>
      </c>
      <c r="F76" s="11" t="s">
        <v>22</v>
      </c>
      <c r="M76" s="23">
        <v>60101</v>
      </c>
      <c r="N76" s="24" t="s">
        <v>587</v>
      </c>
    </row>
    <row r="77" spans="1:35" ht="15" x14ac:dyDescent="0.25">
      <c r="A77" s="1">
        <f t="shared" si="1"/>
        <v>20</v>
      </c>
      <c r="B77" s="8" t="s">
        <v>588</v>
      </c>
      <c r="C77" s="9" t="s">
        <v>589</v>
      </c>
      <c r="D77" s="9" t="s">
        <v>327</v>
      </c>
      <c r="E77" s="10" t="s">
        <v>590</v>
      </c>
      <c r="F77" s="11" t="s">
        <v>22</v>
      </c>
      <c r="M77" s="23">
        <v>60102</v>
      </c>
      <c r="N77" s="24" t="s">
        <v>591</v>
      </c>
    </row>
    <row r="78" spans="1:35" ht="15" x14ac:dyDescent="0.25">
      <c r="A78" s="1">
        <f t="shared" si="1"/>
        <v>20</v>
      </c>
      <c r="B78" s="8" t="s">
        <v>592</v>
      </c>
      <c r="C78" s="9" t="s">
        <v>593</v>
      </c>
      <c r="D78" s="9" t="s">
        <v>339</v>
      </c>
      <c r="E78" s="10" t="s">
        <v>594</v>
      </c>
      <c r="F78" s="11" t="s">
        <v>22</v>
      </c>
      <c r="M78" s="23">
        <v>60103</v>
      </c>
      <c r="N78" s="24" t="s">
        <v>595</v>
      </c>
    </row>
    <row r="79" spans="1:35" ht="15" x14ac:dyDescent="0.25">
      <c r="A79" s="1">
        <f t="shared" si="1"/>
        <v>20</v>
      </c>
      <c r="B79" s="8" t="s">
        <v>596</v>
      </c>
      <c r="C79" s="9" t="s">
        <v>597</v>
      </c>
      <c r="D79" s="9" t="s">
        <v>327</v>
      </c>
      <c r="E79" s="10" t="s">
        <v>598</v>
      </c>
      <c r="F79" s="11" t="s">
        <v>22</v>
      </c>
      <c r="M79" s="23">
        <v>60104</v>
      </c>
      <c r="N79" s="24" t="s">
        <v>599</v>
      </c>
    </row>
    <row r="80" spans="1:35" ht="15" x14ac:dyDescent="0.25">
      <c r="A80" s="1">
        <f t="shared" si="1"/>
        <v>20</v>
      </c>
      <c r="B80" s="8" t="s">
        <v>600</v>
      </c>
      <c r="C80" s="9" t="s">
        <v>601</v>
      </c>
      <c r="D80" s="9" t="s">
        <v>327</v>
      </c>
      <c r="E80" s="10" t="s">
        <v>602</v>
      </c>
      <c r="F80" s="11" t="s">
        <v>22</v>
      </c>
      <c r="M80" s="23">
        <v>60105</v>
      </c>
      <c r="N80" s="24" t="s">
        <v>603</v>
      </c>
    </row>
    <row r="81" spans="1:14" ht="15" x14ac:dyDescent="0.25">
      <c r="A81" s="1">
        <f t="shared" si="1"/>
        <v>20</v>
      </c>
      <c r="B81" s="8" t="s">
        <v>604</v>
      </c>
      <c r="C81" s="9" t="s">
        <v>605</v>
      </c>
      <c r="D81" s="9" t="s">
        <v>339</v>
      </c>
      <c r="E81" s="10" t="s">
        <v>606</v>
      </c>
      <c r="F81" s="11" t="s">
        <v>22</v>
      </c>
      <c r="M81" s="23">
        <v>60106</v>
      </c>
      <c r="N81" s="24" t="s">
        <v>607</v>
      </c>
    </row>
    <row r="82" spans="1:14" ht="15" x14ac:dyDescent="0.25">
      <c r="A82" s="1">
        <f t="shared" si="1"/>
        <v>20</v>
      </c>
      <c r="B82" s="8" t="s">
        <v>608</v>
      </c>
      <c r="C82" s="9" t="s">
        <v>609</v>
      </c>
      <c r="D82" s="9" t="s">
        <v>339</v>
      </c>
      <c r="E82" s="10" t="s">
        <v>610</v>
      </c>
      <c r="F82" s="11" t="s">
        <v>22</v>
      </c>
      <c r="M82" s="23">
        <v>60107</v>
      </c>
      <c r="N82" s="24" t="s">
        <v>611</v>
      </c>
    </row>
    <row r="83" spans="1:14" ht="15" x14ac:dyDescent="0.25">
      <c r="A83" s="1">
        <f t="shared" si="1"/>
        <v>20</v>
      </c>
      <c r="B83" s="8" t="s">
        <v>612</v>
      </c>
      <c r="C83" s="9" t="s">
        <v>613</v>
      </c>
      <c r="D83" s="9" t="s">
        <v>327</v>
      </c>
      <c r="E83" s="10" t="s">
        <v>614</v>
      </c>
      <c r="F83" s="11" t="s">
        <v>22</v>
      </c>
      <c r="M83" s="23">
        <v>60108</v>
      </c>
      <c r="N83" s="24" t="s">
        <v>615</v>
      </c>
    </row>
    <row r="84" spans="1:14" ht="15" x14ac:dyDescent="0.25">
      <c r="A84" s="1">
        <f t="shared" si="1"/>
        <v>20</v>
      </c>
      <c r="B84" s="8" t="s">
        <v>616</v>
      </c>
      <c r="C84" s="9" t="s">
        <v>617</v>
      </c>
      <c r="D84" s="9" t="s">
        <v>327</v>
      </c>
      <c r="E84" s="10" t="s">
        <v>618</v>
      </c>
      <c r="F84" s="11" t="s">
        <v>22</v>
      </c>
      <c r="M84" s="23">
        <v>60109</v>
      </c>
      <c r="N84" s="24" t="s">
        <v>619</v>
      </c>
    </row>
    <row r="85" spans="1:14" ht="15" x14ac:dyDescent="0.25">
      <c r="A85" s="1">
        <f t="shared" si="1"/>
        <v>20</v>
      </c>
      <c r="B85" s="8" t="s">
        <v>620</v>
      </c>
      <c r="C85" s="9" t="s">
        <v>621</v>
      </c>
      <c r="D85" s="9" t="s">
        <v>327</v>
      </c>
      <c r="E85" s="10" t="s">
        <v>622</v>
      </c>
      <c r="F85" s="11" t="s">
        <v>22</v>
      </c>
      <c r="M85" s="23">
        <v>60201</v>
      </c>
      <c r="N85" s="24" t="s">
        <v>623</v>
      </c>
    </row>
    <row r="86" spans="1:14" ht="15" x14ac:dyDescent="0.25">
      <c r="A86" s="1">
        <f t="shared" si="1"/>
        <v>20</v>
      </c>
      <c r="B86" s="8" t="s">
        <v>624</v>
      </c>
      <c r="C86" s="9" t="s">
        <v>625</v>
      </c>
      <c r="D86" s="9" t="s">
        <v>327</v>
      </c>
      <c r="E86" s="10" t="s">
        <v>626</v>
      </c>
      <c r="F86" s="11" t="s">
        <v>22</v>
      </c>
      <c r="M86" s="23">
        <v>60202</v>
      </c>
      <c r="N86" s="24" t="s">
        <v>627</v>
      </c>
    </row>
    <row r="87" spans="1:14" ht="15" x14ac:dyDescent="0.25">
      <c r="A87" s="1">
        <f t="shared" si="1"/>
        <v>20</v>
      </c>
      <c r="B87" s="8" t="s">
        <v>628</v>
      </c>
      <c r="C87" s="9" t="s">
        <v>629</v>
      </c>
      <c r="D87" s="9" t="s">
        <v>327</v>
      </c>
      <c r="E87" s="10" t="s">
        <v>630</v>
      </c>
      <c r="F87" s="11" t="s">
        <v>22</v>
      </c>
      <c r="M87" s="23">
        <v>60301</v>
      </c>
      <c r="N87" s="24" t="s">
        <v>631</v>
      </c>
    </row>
    <row r="88" spans="1:14" x14ac:dyDescent="0.2">
      <c r="A88" s="1">
        <f t="shared" si="1"/>
        <v>20</v>
      </c>
      <c r="B88" s="8" t="s">
        <v>632</v>
      </c>
      <c r="C88" s="9" t="s">
        <v>633</v>
      </c>
      <c r="D88" s="9" t="s">
        <v>327</v>
      </c>
      <c r="E88" s="10" t="s">
        <v>634</v>
      </c>
      <c r="F88" s="11" t="s">
        <v>22</v>
      </c>
    </row>
    <row r="89" spans="1:14" x14ac:dyDescent="0.2">
      <c r="A89" s="1">
        <f t="shared" si="1"/>
        <v>20</v>
      </c>
      <c r="B89" s="8" t="s">
        <v>635</v>
      </c>
      <c r="C89" s="9" t="s">
        <v>636</v>
      </c>
      <c r="D89" s="9" t="s">
        <v>327</v>
      </c>
      <c r="E89" s="10" t="s">
        <v>637</v>
      </c>
      <c r="F89" s="11" t="s">
        <v>22</v>
      </c>
    </row>
    <row r="90" spans="1:14" x14ac:dyDescent="0.2">
      <c r="A90" s="1">
        <f t="shared" si="1"/>
        <v>20</v>
      </c>
      <c r="B90" s="8" t="s">
        <v>638</v>
      </c>
      <c r="C90" s="9" t="s">
        <v>639</v>
      </c>
      <c r="D90" s="9" t="s">
        <v>327</v>
      </c>
      <c r="E90" s="10" t="s">
        <v>640</v>
      </c>
      <c r="F90" s="11" t="s">
        <v>22</v>
      </c>
    </row>
    <row r="91" spans="1:14" x14ac:dyDescent="0.2">
      <c r="A91" s="1">
        <f t="shared" si="1"/>
        <v>20</v>
      </c>
      <c r="B91" s="8" t="s">
        <v>641</v>
      </c>
      <c r="C91" s="9" t="s">
        <v>642</v>
      </c>
      <c r="D91" s="9" t="s">
        <v>327</v>
      </c>
      <c r="E91" s="10" t="s">
        <v>643</v>
      </c>
      <c r="F91" s="11" t="s">
        <v>22</v>
      </c>
    </row>
    <row r="92" spans="1:14" x14ac:dyDescent="0.2">
      <c r="A92" s="1">
        <f t="shared" si="1"/>
        <v>20</v>
      </c>
      <c r="B92" s="8" t="s">
        <v>644</v>
      </c>
      <c r="C92" s="9" t="s">
        <v>645</v>
      </c>
      <c r="D92" s="9" t="s">
        <v>327</v>
      </c>
      <c r="E92" s="10" t="s">
        <v>646</v>
      </c>
      <c r="F92" s="11" t="s">
        <v>22</v>
      </c>
    </row>
    <row r="93" spans="1:14" x14ac:dyDescent="0.2">
      <c r="A93" s="1">
        <f t="shared" si="1"/>
        <v>20</v>
      </c>
      <c r="B93" s="8" t="s">
        <v>647</v>
      </c>
      <c r="C93" s="9" t="s">
        <v>648</v>
      </c>
      <c r="D93" s="9" t="s">
        <v>327</v>
      </c>
      <c r="E93" s="10" t="s">
        <v>649</v>
      </c>
      <c r="F93" s="11" t="s">
        <v>22</v>
      </c>
    </row>
    <row r="94" spans="1:14" x14ac:dyDescent="0.2">
      <c r="A94" s="1">
        <f t="shared" si="1"/>
        <v>20</v>
      </c>
      <c r="B94" s="8" t="s">
        <v>650</v>
      </c>
      <c r="C94" s="9" t="s">
        <v>651</v>
      </c>
      <c r="D94" s="9" t="s">
        <v>327</v>
      </c>
      <c r="E94" s="10" t="s">
        <v>652</v>
      </c>
      <c r="F94" s="11" t="s">
        <v>22</v>
      </c>
    </row>
    <row r="95" spans="1:14" x14ac:dyDescent="0.2">
      <c r="A95" s="1">
        <f t="shared" si="1"/>
        <v>20</v>
      </c>
      <c r="B95" s="8">
        <v>46088732</v>
      </c>
      <c r="C95" s="9" t="s">
        <v>653</v>
      </c>
      <c r="D95" s="9" t="s">
        <v>327</v>
      </c>
      <c r="E95" s="10" t="s">
        <v>654</v>
      </c>
      <c r="F95" s="11" t="s">
        <v>22</v>
      </c>
    </row>
    <row r="96" spans="1:14" x14ac:dyDescent="0.2">
      <c r="A96" s="1">
        <f t="shared" si="1"/>
        <v>20</v>
      </c>
      <c r="B96" s="8" t="s">
        <v>655</v>
      </c>
      <c r="C96" s="9" t="s">
        <v>656</v>
      </c>
      <c r="D96" s="9" t="s">
        <v>327</v>
      </c>
      <c r="E96" s="10" t="s">
        <v>657</v>
      </c>
      <c r="F96" s="11" t="s">
        <v>22</v>
      </c>
    </row>
    <row r="97" spans="1:6" x14ac:dyDescent="0.2">
      <c r="A97" s="1">
        <f t="shared" si="1"/>
        <v>20</v>
      </c>
      <c r="B97" s="8" t="s">
        <v>658</v>
      </c>
      <c r="C97" s="9" t="s">
        <v>659</v>
      </c>
      <c r="D97" s="9" t="s">
        <v>327</v>
      </c>
      <c r="E97" s="10" t="s">
        <v>660</v>
      </c>
      <c r="F97" s="11" t="s">
        <v>22</v>
      </c>
    </row>
    <row r="98" spans="1:6" x14ac:dyDescent="0.2">
      <c r="A98" s="1">
        <f t="shared" si="1"/>
        <v>20</v>
      </c>
      <c r="B98" s="8" t="s">
        <v>661</v>
      </c>
      <c r="C98" s="9" t="s">
        <v>662</v>
      </c>
      <c r="D98" s="9" t="s">
        <v>327</v>
      </c>
      <c r="E98" s="10" t="s">
        <v>663</v>
      </c>
      <c r="F98" s="11" t="s">
        <v>22</v>
      </c>
    </row>
    <row r="99" spans="1:6" x14ac:dyDescent="0.2">
      <c r="A99" s="1">
        <f t="shared" si="1"/>
        <v>20</v>
      </c>
      <c r="B99" s="8" t="s">
        <v>664</v>
      </c>
      <c r="C99" s="9" t="s">
        <v>665</v>
      </c>
      <c r="D99" s="9" t="s">
        <v>327</v>
      </c>
      <c r="E99" s="10" t="s">
        <v>666</v>
      </c>
      <c r="F99" s="11" t="s">
        <v>22</v>
      </c>
    </row>
    <row r="100" spans="1:6" x14ac:dyDescent="0.2">
      <c r="A100" s="1">
        <f t="shared" si="1"/>
        <v>20</v>
      </c>
      <c r="B100" s="8" t="s">
        <v>667</v>
      </c>
      <c r="C100" s="9" t="s">
        <v>668</v>
      </c>
      <c r="D100" s="9" t="s">
        <v>339</v>
      </c>
      <c r="E100" s="10" t="s">
        <v>669</v>
      </c>
      <c r="F100" s="11" t="s">
        <v>22</v>
      </c>
    </row>
    <row r="101" spans="1:6" x14ac:dyDescent="0.2">
      <c r="A101" s="1">
        <f t="shared" si="1"/>
        <v>20</v>
      </c>
      <c r="B101" s="8">
        <v>74026996</v>
      </c>
      <c r="C101" s="9" t="s">
        <v>670</v>
      </c>
      <c r="D101" s="9" t="s">
        <v>327</v>
      </c>
      <c r="E101" s="10" t="s">
        <v>671</v>
      </c>
      <c r="F101" s="11" t="s">
        <v>22</v>
      </c>
    </row>
    <row r="102" spans="1:6" x14ac:dyDescent="0.2">
      <c r="A102" s="1">
        <f t="shared" si="1"/>
        <v>20</v>
      </c>
      <c r="B102" s="8" t="s">
        <v>672</v>
      </c>
      <c r="C102" s="9" t="s">
        <v>673</v>
      </c>
      <c r="D102" s="9" t="s">
        <v>327</v>
      </c>
      <c r="E102" s="10" t="s">
        <v>674</v>
      </c>
      <c r="F102" s="11" t="s">
        <v>22</v>
      </c>
    </row>
    <row r="103" spans="1:6" x14ac:dyDescent="0.2">
      <c r="A103" s="1">
        <f t="shared" si="1"/>
        <v>20</v>
      </c>
      <c r="B103" s="8" t="s">
        <v>675</v>
      </c>
      <c r="C103" s="9" t="s">
        <v>676</v>
      </c>
      <c r="D103" s="9" t="s">
        <v>327</v>
      </c>
      <c r="E103" s="10" t="s">
        <v>677</v>
      </c>
      <c r="F103" s="11" t="s">
        <v>22</v>
      </c>
    </row>
    <row r="104" spans="1:6" x14ac:dyDescent="0.2">
      <c r="A104" s="1">
        <f t="shared" si="1"/>
        <v>20</v>
      </c>
      <c r="B104" s="8" t="s">
        <v>678</v>
      </c>
      <c r="C104" s="9" t="s">
        <v>679</v>
      </c>
      <c r="D104" s="9" t="s">
        <v>327</v>
      </c>
      <c r="E104" s="10" t="s">
        <v>680</v>
      </c>
      <c r="F104" s="11" t="s">
        <v>22</v>
      </c>
    </row>
    <row r="105" spans="1:6" x14ac:dyDescent="0.2">
      <c r="A105" s="1">
        <f t="shared" si="1"/>
        <v>20</v>
      </c>
      <c r="B105" s="8" t="s">
        <v>681</v>
      </c>
      <c r="C105" s="9" t="s">
        <v>682</v>
      </c>
      <c r="D105" s="9" t="s">
        <v>327</v>
      </c>
      <c r="E105" s="10" t="s">
        <v>683</v>
      </c>
      <c r="F105" s="11" t="s">
        <v>22</v>
      </c>
    </row>
    <row r="106" spans="1:6" x14ac:dyDescent="0.2">
      <c r="A106" s="1">
        <f t="shared" si="1"/>
        <v>20</v>
      </c>
      <c r="B106" s="8" t="s">
        <v>684</v>
      </c>
      <c r="C106" s="9" t="s">
        <v>685</v>
      </c>
      <c r="D106" s="9" t="s">
        <v>327</v>
      </c>
      <c r="E106" s="10" t="s">
        <v>686</v>
      </c>
      <c r="F106" s="11" t="s">
        <v>22</v>
      </c>
    </row>
    <row r="107" spans="1:6" x14ac:dyDescent="0.2">
      <c r="A107" s="1">
        <f t="shared" si="1"/>
        <v>20</v>
      </c>
      <c r="B107" s="8" t="s">
        <v>687</v>
      </c>
      <c r="C107" s="9" t="s">
        <v>688</v>
      </c>
      <c r="D107" s="9" t="s">
        <v>327</v>
      </c>
      <c r="E107" s="10" t="s">
        <v>689</v>
      </c>
      <c r="F107" s="11" t="s">
        <v>22</v>
      </c>
    </row>
    <row r="108" spans="1:6" x14ac:dyDescent="0.2">
      <c r="A108" s="1">
        <f t="shared" si="1"/>
        <v>20</v>
      </c>
      <c r="B108" s="8" t="s">
        <v>690</v>
      </c>
      <c r="C108" s="9" t="s">
        <v>691</v>
      </c>
      <c r="D108" s="9" t="s">
        <v>327</v>
      </c>
      <c r="E108" s="10" t="s">
        <v>692</v>
      </c>
      <c r="F108" s="11" t="s">
        <v>22</v>
      </c>
    </row>
    <row r="109" spans="1:6" x14ac:dyDescent="0.2">
      <c r="A109" s="1">
        <f t="shared" si="1"/>
        <v>20</v>
      </c>
      <c r="B109" s="8" t="s">
        <v>693</v>
      </c>
      <c r="C109" s="9" t="s">
        <v>694</v>
      </c>
      <c r="D109" s="9" t="s">
        <v>339</v>
      </c>
      <c r="E109" s="10" t="s">
        <v>695</v>
      </c>
      <c r="F109" s="11" t="s">
        <v>22</v>
      </c>
    </row>
    <row r="110" spans="1:6" x14ac:dyDescent="0.2">
      <c r="A110" s="1">
        <f t="shared" si="1"/>
        <v>20</v>
      </c>
      <c r="B110" s="8" t="s">
        <v>696</v>
      </c>
      <c r="C110" s="9" t="s">
        <v>697</v>
      </c>
      <c r="D110" s="9" t="s">
        <v>327</v>
      </c>
      <c r="E110" s="10" t="s">
        <v>698</v>
      </c>
      <c r="F110" s="11" t="s">
        <v>22</v>
      </c>
    </row>
    <row r="111" spans="1:6" x14ac:dyDescent="0.2">
      <c r="A111" s="1">
        <f t="shared" si="1"/>
        <v>20</v>
      </c>
      <c r="B111" s="8" t="s">
        <v>699</v>
      </c>
      <c r="C111" s="9" t="s">
        <v>700</v>
      </c>
      <c r="D111" s="9" t="s">
        <v>327</v>
      </c>
      <c r="E111" s="10" t="s">
        <v>701</v>
      </c>
      <c r="F111" s="11" t="s">
        <v>22</v>
      </c>
    </row>
    <row r="112" spans="1:6" x14ac:dyDescent="0.2">
      <c r="A112" s="1">
        <f t="shared" si="1"/>
        <v>20</v>
      </c>
      <c r="B112" s="8" t="s">
        <v>702</v>
      </c>
      <c r="C112" s="9" t="s">
        <v>703</v>
      </c>
      <c r="D112" s="9" t="s">
        <v>327</v>
      </c>
      <c r="E112" s="10" t="s">
        <v>704</v>
      </c>
      <c r="F112" s="11" t="s">
        <v>22</v>
      </c>
    </row>
    <row r="113" spans="1:6" x14ac:dyDescent="0.2">
      <c r="A113" s="1">
        <f t="shared" si="1"/>
        <v>20</v>
      </c>
      <c r="B113" s="8" t="s">
        <v>57</v>
      </c>
      <c r="C113" s="9" t="s">
        <v>264</v>
      </c>
      <c r="D113" s="9" t="s">
        <v>339</v>
      </c>
      <c r="E113" s="10" t="s">
        <v>263</v>
      </c>
      <c r="F113" s="11" t="s">
        <v>22</v>
      </c>
    </row>
    <row r="114" spans="1:6" x14ac:dyDescent="0.2">
      <c r="A114" s="1">
        <f t="shared" si="1"/>
        <v>20</v>
      </c>
      <c r="B114" s="12" t="s">
        <v>705</v>
      </c>
      <c r="C114" s="13" t="s">
        <v>706</v>
      </c>
      <c r="D114" s="13" t="s">
        <v>339</v>
      </c>
      <c r="E114" s="14" t="s">
        <v>707</v>
      </c>
      <c r="F114" s="15" t="s">
        <v>22</v>
      </c>
    </row>
    <row r="115" spans="1:6" x14ac:dyDescent="0.2">
      <c r="A115" s="1">
        <f t="shared" si="1"/>
        <v>20</v>
      </c>
      <c r="B115" s="12" t="s">
        <v>174</v>
      </c>
      <c r="C115" s="13" t="s">
        <v>708</v>
      </c>
      <c r="D115" s="13" t="s">
        <v>327</v>
      </c>
      <c r="E115" s="14" t="s">
        <v>709</v>
      </c>
      <c r="F115" s="15" t="s">
        <v>22</v>
      </c>
    </row>
    <row r="116" spans="1:6" x14ac:dyDescent="0.2">
      <c r="A116" s="1">
        <f t="shared" si="1"/>
        <v>20</v>
      </c>
      <c r="B116" s="12" t="s">
        <v>710</v>
      </c>
      <c r="C116" s="13" t="s">
        <v>711</v>
      </c>
      <c r="D116" s="13" t="s">
        <v>339</v>
      </c>
      <c r="E116" s="14" t="s">
        <v>712</v>
      </c>
      <c r="F116" s="15" t="s">
        <v>22</v>
      </c>
    </row>
    <row r="117" spans="1:6" x14ac:dyDescent="0.2">
      <c r="A117" s="1">
        <f t="shared" si="1"/>
        <v>20</v>
      </c>
      <c r="B117" s="12" t="s">
        <v>713</v>
      </c>
      <c r="C117" s="13" t="s">
        <v>714</v>
      </c>
      <c r="D117" s="13" t="s">
        <v>339</v>
      </c>
      <c r="E117" s="14" t="s">
        <v>715</v>
      </c>
      <c r="F117" s="15" t="s">
        <v>22</v>
      </c>
    </row>
    <row r="118" spans="1:6" x14ac:dyDescent="0.2">
      <c r="A118" s="1">
        <f t="shared" si="1"/>
        <v>20</v>
      </c>
      <c r="B118" s="12" t="s">
        <v>133</v>
      </c>
      <c r="C118" s="13" t="s">
        <v>304</v>
      </c>
      <c r="D118" s="13" t="s">
        <v>327</v>
      </c>
      <c r="E118" s="14" t="s">
        <v>303</v>
      </c>
      <c r="F118" s="15" t="s">
        <v>22</v>
      </c>
    </row>
    <row r="119" spans="1:6" x14ac:dyDescent="0.2">
      <c r="A119" s="1">
        <f t="shared" si="1"/>
        <v>20</v>
      </c>
      <c r="B119" s="12" t="s">
        <v>82</v>
      </c>
      <c r="C119" s="13" t="s">
        <v>274</v>
      </c>
      <c r="D119" s="13" t="s">
        <v>327</v>
      </c>
      <c r="E119" s="14" t="s">
        <v>273</v>
      </c>
      <c r="F119" s="15" t="s">
        <v>22</v>
      </c>
    </row>
    <row r="120" spans="1:6" x14ac:dyDescent="0.2">
      <c r="A120" s="1">
        <f t="shared" si="1"/>
        <v>20</v>
      </c>
      <c r="B120" s="12" t="s">
        <v>716</v>
      </c>
      <c r="C120" s="13" t="s">
        <v>717</v>
      </c>
      <c r="D120" s="13" t="s">
        <v>327</v>
      </c>
      <c r="E120" s="14" t="s">
        <v>718</v>
      </c>
      <c r="F120" s="15" t="s">
        <v>22</v>
      </c>
    </row>
    <row r="121" spans="1:6" x14ac:dyDescent="0.2">
      <c r="A121" s="1">
        <f t="shared" si="1"/>
        <v>20</v>
      </c>
      <c r="B121" s="12" t="s">
        <v>719</v>
      </c>
      <c r="C121" s="9" t="s">
        <v>720</v>
      </c>
      <c r="D121" s="9" t="s">
        <v>339</v>
      </c>
      <c r="E121" s="10" t="s">
        <v>721</v>
      </c>
      <c r="F121" s="11" t="s">
        <v>22</v>
      </c>
    </row>
    <row r="122" spans="1:6" x14ac:dyDescent="0.2">
      <c r="A122" s="1">
        <f t="shared" si="1"/>
        <v>20</v>
      </c>
      <c r="B122" s="12" t="s">
        <v>722</v>
      </c>
      <c r="C122" s="13" t="s">
        <v>723</v>
      </c>
      <c r="D122" s="13" t="s">
        <v>339</v>
      </c>
      <c r="E122" s="14" t="s">
        <v>724</v>
      </c>
      <c r="F122" s="15" t="s">
        <v>22</v>
      </c>
    </row>
    <row r="123" spans="1:6" x14ac:dyDescent="0.2">
      <c r="A123" s="1">
        <f t="shared" si="1"/>
        <v>20</v>
      </c>
      <c r="B123" s="12" t="s">
        <v>725</v>
      </c>
      <c r="C123" s="13" t="s">
        <v>726</v>
      </c>
      <c r="D123" s="13" t="s">
        <v>339</v>
      </c>
      <c r="E123" s="14" t="s">
        <v>727</v>
      </c>
      <c r="F123" s="15" t="s">
        <v>22</v>
      </c>
    </row>
    <row r="124" spans="1:6" x14ac:dyDescent="0.2">
      <c r="A124" s="1">
        <f t="shared" si="1"/>
        <v>20</v>
      </c>
      <c r="B124" s="12" t="s">
        <v>728</v>
      </c>
      <c r="C124" s="13" t="s">
        <v>729</v>
      </c>
      <c r="D124" s="13" t="s">
        <v>327</v>
      </c>
      <c r="E124" s="14" t="s">
        <v>730</v>
      </c>
      <c r="F124" s="15" t="s">
        <v>22</v>
      </c>
    </row>
    <row r="125" spans="1:6" x14ac:dyDescent="0.2">
      <c r="A125" s="1">
        <f t="shared" si="1"/>
        <v>20</v>
      </c>
      <c r="B125" s="12" t="s">
        <v>731</v>
      </c>
      <c r="C125" s="13" t="s">
        <v>732</v>
      </c>
      <c r="D125" s="13" t="s">
        <v>339</v>
      </c>
      <c r="E125" s="14" t="s">
        <v>733</v>
      </c>
      <c r="F125" s="15" t="s">
        <v>22</v>
      </c>
    </row>
    <row r="126" spans="1:6" x14ac:dyDescent="0.2">
      <c r="A126" s="1">
        <f t="shared" si="1"/>
        <v>20</v>
      </c>
      <c r="B126" s="8" t="s">
        <v>734</v>
      </c>
      <c r="C126" s="9" t="s">
        <v>735</v>
      </c>
      <c r="D126" s="9" t="s">
        <v>339</v>
      </c>
      <c r="E126" s="10" t="s">
        <v>736</v>
      </c>
      <c r="F126" s="11" t="s">
        <v>22</v>
      </c>
    </row>
    <row r="127" spans="1:6" x14ac:dyDescent="0.2">
      <c r="A127" s="1">
        <f t="shared" si="1"/>
        <v>20</v>
      </c>
      <c r="B127" s="8" t="s">
        <v>737</v>
      </c>
      <c r="C127" s="9" t="s">
        <v>738</v>
      </c>
      <c r="D127" s="9" t="s">
        <v>339</v>
      </c>
      <c r="E127" s="10" t="s">
        <v>739</v>
      </c>
      <c r="F127" s="11" t="s">
        <v>22</v>
      </c>
    </row>
    <row r="128" spans="1:6" x14ac:dyDescent="0.2">
      <c r="A128" s="1">
        <f t="shared" si="1"/>
        <v>20</v>
      </c>
      <c r="B128" s="8" t="s">
        <v>740</v>
      </c>
      <c r="C128" s="9" t="s">
        <v>741</v>
      </c>
      <c r="D128" s="9" t="s">
        <v>327</v>
      </c>
      <c r="E128" s="10" t="s">
        <v>742</v>
      </c>
      <c r="F128" s="11" t="s">
        <v>22</v>
      </c>
    </row>
    <row r="129" spans="1:6" x14ac:dyDescent="0.2">
      <c r="A129" s="1">
        <f t="shared" si="1"/>
        <v>20</v>
      </c>
      <c r="B129" s="8" t="s">
        <v>743</v>
      </c>
      <c r="C129" s="9" t="s">
        <v>744</v>
      </c>
      <c r="D129" s="9" t="s">
        <v>339</v>
      </c>
      <c r="E129" s="10" t="s">
        <v>745</v>
      </c>
      <c r="F129" s="11" t="s">
        <v>22</v>
      </c>
    </row>
    <row r="130" spans="1:6" x14ac:dyDescent="0.2">
      <c r="A130" s="1">
        <f t="shared" si="1"/>
        <v>20</v>
      </c>
      <c r="B130" s="8" t="s">
        <v>746</v>
      </c>
      <c r="C130" s="9" t="s">
        <v>747</v>
      </c>
      <c r="D130" s="9" t="s">
        <v>339</v>
      </c>
      <c r="E130" s="10" t="s">
        <v>748</v>
      </c>
      <c r="F130" s="11" t="s">
        <v>22</v>
      </c>
    </row>
    <row r="131" spans="1:6" x14ac:dyDescent="0.2">
      <c r="A131" s="1">
        <f t="shared" si="1"/>
        <v>20</v>
      </c>
      <c r="B131" s="8" t="s">
        <v>749</v>
      </c>
      <c r="C131" s="9" t="s">
        <v>750</v>
      </c>
      <c r="D131" s="9" t="s">
        <v>327</v>
      </c>
      <c r="E131" s="10" t="s">
        <v>751</v>
      </c>
      <c r="F131" s="11" t="s">
        <v>22</v>
      </c>
    </row>
    <row r="132" spans="1:6" x14ac:dyDescent="0.2">
      <c r="A132" s="1">
        <f t="shared" si="1"/>
        <v>20</v>
      </c>
      <c r="B132" s="8" t="s">
        <v>184</v>
      </c>
      <c r="C132" s="9" t="s">
        <v>752</v>
      </c>
      <c r="D132" s="9" t="s">
        <v>339</v>
      </c>
      <c r="E132" s="10" t="s">
        <v>753</v>
      </c>
      <c r="F132" s="11" t="s">
        <v>22</v>
      </c>
    </row>
    <row r="133" spans="1:6" x14ac:dyDescent="0.2">
      <c r="A133" s="1">
        <f t="shared" si="1"/>
        <v>20</v>
      </c>
      <c r="B133" s="8" t="s">
        <v>43</v>
      </c>
      <c r="C133" s="36" t="s">
        <v>283</v>
      </c>
      <c r="D133" s="9" t="s">
        <v>327</v>
      </c>
      <c r="E133" s="39" t="s">
        <v>282</v>
      </c>
      <c r="F133" s="11" t="s">
        <v>22</v>
      </c>
    </row>
    <row r="134" spans="1:6" x14ac:dyDescent="0.2">
      <c r="A134" s="1">
        <f t="shared" ref="A134:A197" si="2">+LEN(E134)</f>
        <v>20</v>
      </c>
      <c r="B134" s="8" t="s">
        <v>754</v>
      </c>
      <c r="C134" s="9" t="s">
        <v>755</v>
      </c>
      <c r="D134" s="9" t="s">
        <v>339</v>
      </c>
      <c r="E134" s="10" t="s">
        <v>756</v>
      </c>
      <c r="F134" s="11" t="s">
        <v>22</v>
      </c>
    </row>
    <row r="135" spans="1:6" x14ac:dyDescent="0.2">
      <c r="A135" s="1">
        <f t="shared" si="1"/>
        <v>20</v>
      </c>
      <c r="B135" s="8" t="s">
        <v>757</v>
      </c>
      <c r="C135" s="9" t="s">
        <v>758</v>
      </c>
      <c r="D135" s="9" t="s">
        <v>339</v>
      </c>
      <c r="E135" s="10" t="s">
        <v>759</v>
      </c>
      <c r="F135" s="11" t="s">
        <v>22</v>
      </c>
    </row>
    <row r="136" spans="1:6" x14ac:dyDescent="0.2">
      <c r="A136" s="1">
        <f t="shared" si="2"/>
        <v>20</v>
      </c>
      <c r="B136" s="8" t="s">
        <v>760</v>
      </c>
      <c r="C136" s="13" t="s">
        <v>761</v>
      </c>
      <c r="D136" s="13" t="s">
        <v>327</v>
      </c>
      <c r="E136" s="14" t="s">
        <v>762</v>
      </c>
      <c r="F136" s="15" t="s">
        <v>22</v>
      </c>
    </row>
    <row r="137" spans="1:6" x14ac:dyDescent="0.2">
      <c r="A137" s="1">
        <f t="shared" si="1"/>
        <v>20</v>
      </c>
      <c r="B137" s="8" t="s">
        <v>763</v>
      </c>
      <c r="C137" s="13" t="s">
        <v>764</v>
      </c>
      <c r="D137" s="13" t="s">
        <v>339</v>
      </c>
      <c r="E137" s="14" t="s">
        <v>765</v>
      </c>
      <c r="F137" s="15" t="s">
        <v>22</v>
      </c>
    </row>
    <row r="138" spans="1:6" x14ac:dyDescent="0.2">
      <c r="A138" s="1">
        <f t="shared" si="2"/>
        <v>20</v>
      </c>
      <c r="B138" s="8" t="s">
        <v>766</v>
      </c>
      <c r="C138" s="9" t="s">
        <v>767</v>
      </c>
      <c r="D138" s="9" t="s">
        <v>339</v>
      </c>
      <c r="E138" s="10" t="s">
        <v>768</v>
      </c>
      <c r="F138" s="11" t="s">
        <v>22</v>
      </c>
    </row>
    <row r="139" spans="1:6" x14ac:dyDescent="0.2">
      <c r="A139" s="1">
        <f t="shared" si="1"/>
        <v>20</v>
      </c>
      <c r="B139" s="8" t="s">
        <v>769</v>
      </c>
      <c r="C139" s="9" t="s">
        <v>770</v>
      </c>
      <c r="D139" s="9" t="s">
        <v>339</v>
      </c>
      <c r="E139" s="10" t="s">
        <v>771</v>
      </c>
      <c r="F139" s="11" t="s">
        <v>22</v>
      </c>
    </row>
    <row r="140" spans="1:6" x14ac:dyDescent="0.2">
      <c r="A140" s="1">
        <f t="shared" si="2"/>
        <v>20</v>
      </c>
      <c r="B140" s="12" t="s">
        <v>772</v>
      </c>
      <c r="C140" s="33" t="s">
        <v>773</v>
      </c>
      <c r="D140" s="13" t="s">
        <v>339</v>
      </c>
      <c r="E140" s="14" t="s">
        <v>774</v>
      </c>
      <c r="F140" s="15" t="s">
        <v>22</v>
      </c>
    </row>
    <row r="141" spans="1:6" x14ac:dyDescent="0.2">
      <c r="A141" s="1">
        <f t="shared" si="1"/>
        <v>20</v>
      </c>
      <c r="B141" s="8" t="s">
        <v>775</v>
      </c>
      <c r="C141" s="9" t="s">
        <v>776</v>
      </c>
      <c r="D141" s="9" t="s">
        <v>327</v>
      </c>
      <c r="E141" s="10" t="s">
        <v>777</v>
      </c>
      <c r="F141" s="11" t="s">
        <v>22</v>
      </c>
    </row>
    <row r="142" spans="1:6" x14ac:dyDescent="0.2">
      <c r="A142" s="1">
        <f t="shared" si="2"/>
        <v>20</v>
      </c>
      <c r="B142" s="12" t="s">
        <v>33</v>
      </c>
      <c r="C142" s="13" t="s">
        <v>778</v>
      </c>
      <c r="D142" s="13" t="s">
        <v>339</v>
      </c>
      <c r="E142" s="14" t="s">
        <v>779</v>
      </c>
      <c r="F142" s="15" t="s">
        <v>22</v>
      </c>
    </row>
    <row r="143" spans="1:6" x14ac:dyDescent="0.2">
      <c r="A143" s="1">
        <f t="shared" si="2"/>
        <v>20</v>
      </c>
      <c r="B143" s="12" t="s">
        <v>780</v>
      </c>
      <c r="C143" s="13" t="s">
        <v>781</v>
      </c>
      <c r="D143" s="13" t="s">
        <v>339</v>
      </c>
      <c r="E143" s="14" t="s">
        <v>782</v>
      </c>
      <c r="F143" s="15" t="s">
        <v>22</v>
      </c>
    </row>
    <row r="144" spans="1:6" x14ac:dyDescent="0.2">
      <c r="A144" s="1">
        <f t="shared" si="2"/>
        <v>20</v>
      </c>
      <c r="B144" s="12" t="s">
        <v>783</v>
      </c>
      <c r="C144" s="13" t="s">
        <v>784</v>
      </c>
      <c r="D144" s="13" t="s">
        <v>339</v>
      </c>
      <c r="E144" s="14" t="s">
        <v>785</v>
      </c>
      <c r="F144" s="15" t="s">
        <v>22</v>
      </c>
    </row>
    <row r="145" spans="1:28" x14ac:dyDescent="0.2">
      <c r="A145" s="1">
        <f t="shared" si="2"/>
        <v>20</v>
      </c>
      <c r="B145" s="12" t="s">
        <v>786</v>
      </c>
      <c r="C145" s="12" t="s">
        <v>755</v>
      </c>
      <c r="D145" s="12" t="s">
        <v>339</v>
      </c>
      <c r="E145" s="14" t="s">
        <v>756</v>
      </c>
      <c r="F145" s="15" t="s">
        <v>22</v>
      </c>
    </row>
    <row r="146" spans="1:28" x14ac:dyDescent="0.2">
      <c r="A146" s="1">
        <f t="shared" si="2"/>
        <v>20</v>
      </c>
      <c r="B146" s="38" t="s">
        <v>787</v>
      </c>
      <c r="C146" s="13" t="s">
        <v>788</v>
      </c>
      <c r="D146" s="13" t="s">
        <v>339</v>
      </c>
      <c r="E146" s="14" t="s">
        <v>789</v>
      </c>
      <c r="F146" s="15" t="s">
        <v>22</v>
      </c>
    </row>
    <row r="147" spans="1:28" x14ac:dyDescent="0.2">
      <c r="A147" s="1">
        <f t="shared" si="2"/>
        <v>20</v>
      </c>
      <c r="B147" s="38" t="s">
        <v>790</v>
      </c>
      <c r="C147" s="13" t="s">
        <v>791</v>
      </c>
      <c r="D147" s="13" t="s">
        <v>327</v>
      </c>
      <c r="E147" s="14" t="s">
        <v>792</v>
      </c>
      <c r="F147" s="15" t="s">
        <v>22</v>
      </c>
    </row>
    <row r="148" spans="1:28" x14ac:dyDescent="0.2">
      <c r="A148" s="1">
        <f t="shared" si="2"/>
        <v>20</v>
      </c>
      <c r="B148" s="38" t="s">
        <v>793</v>
      </c>
      <c r="C148" s="9" t="s">
        <v>794</v>
      </c>
      <c r="D148" s="9" t="s">
        <v>327</v>
      </c>
      <c r="E148" s="10" t="s">
        <v>795</v>
      </c>
      <c r="F148" s="11" t="s">
        <v>22</v>
      </c>
    </row>
    <row r="149" spans="1:28" x14ac:dyDescent="0.2">
      <c r="A149" s="1">
        <f t="shared" si="2"/>
        <v>20</v>
      </c>
      <c r="B149" s="38" t="s">
        <v>796</v>
      </c>
      <c r="C149" s="13" t="s">
        <v>797</v>
      </c>
      <c r="D149" s="13" t="s">
        <v>327</v>
      </c>
      <c r="E149" s="12" t="s">
        <v>798</v>
      </c>
      <c r="F149" s="15" t="s">
        <v>22</v>
      </c>
    </row>
    <row r="150" spans="1:28" x14ac:dyDescent="0.2">
      <c r="A150" s="1">
        <f t="shared" si="2"/>
        <v>20</v>
      </c>
      <c r="B150" s="37" t="s">
        <v>799</v>
      </c>
      <c r="C150" s="9" t="s">
        <v>800</v>
      </c>
      <c r="D150" s="9" t="s">
        <v>327</v>
      </c>
      <c r="E150" s="10" t="s">
        <v>801</v>
      </c>
      <c r="F150" s="11" t="s">
        <v>22</v>
      </c>
    </row>
    <row r="151" spans="1:28" x14ac:dyDescent="0.2">
      <c r="A151" s="1">
        <f t="shared" si="2"/>
        <v>20</v>
      </c>
      <c r="B151" s="37" t="s">
        <v>802</v>
      </c>
      <c r="C151" s="9" t="s">
        <v>803</v>
      </c>
      <c r="D151" s="9" t="s">
        <v>339</v>
      </c>
      <c r="E151" s="10" t="s">
        <v>804</v>
      </c>
      <c r="F151" s="11" t="s">
        <v>22</v>
      </c>
      <c r="AB151" s="1">
        <v>1</v>
      </c>
    </row>
    <row r="152" spans="1:28" x14ac:dyDescent="0.2">
      <c r="A152" s="1">
        <f t="shared" si="2"/>
        <v>20</v>
      </c>
      <c r="B152" s="37" t="s">
        <v>122</v>
      </c>
      <c r="C152" s="9" t="s">
        <v>298</v>
      </c>
      <c r="D152" s="9" t="s">
        <v>327</v>
      </c>
      <c r="E152" s="10" t="s">
        <v>297</v>
      </c>
      <c r="F152" s="11" t="s">
        <v>22</v>
      </c>
    </row>
    <row r="153" spans="1:28" x14ac:dyDescent="0.2">
      <c r="A153" s="1">
        <f t="shared" si="2"/>
        <v>20</v>
      </c>
      <c r="B153" s="37" t="s">
        <v>805</v>
      </c>
      <c r="C153" s="9" t="s">
        <v>806</v>
      </c>
      <c r="D153" s="9" t="s">
        <v>327</v>
      </c>
      <c r="E153" s="10" t="s">
        <v>807</v>
      </c>
      <c r="F153" s="11" t="s">
        <v>22</v>
      </c>
    </row>
    <row r="154" spans="1:28" x14ac:dyDescent="0.2">
      <c r="A154" s="1">
        <f t="shared" si="2"/>
        <v>20</v>
      </c>
      <c r="B154" s="37" t="s">
        <v>808</v>
      </c>
      <c r="C154" s="9" t="s">
        <v>809</v>
      </c>
      <c r="D154" s="9" t="s">
        <v>327</v>
      </c>
      <c r="E154" s="10" t="s">
        <v>810</v>
      </c>
      <c r="F154" s="11" t="s">
        <v>22</v>
      </c>
    </row>
    <row r="155" spans="1:28" x14ac:dyDescent="0.2">
      <c r="A155" s="1">
        <f t="shared" si="2"/>
        <v>20</v>
      </c>
      <c r="B155" s="37" t="s">
        <v>811</v>
      </c>
      <c r="C155" s="9" t="s">
        <v>812</v>
      </c>
      <c r="D155" s="9" t="s">
        <v>327</v>
      </c>
      <c r="E155" s="10" t="s">
        <v>813</v>
      </c>
      <c r="F155" s="11" t="s">
        <v>22</v>
      </c>
    </row>
    <row r="156" spans="1:28" x14ac:dyDescent="0.2">
      <c r="A156" s="1">
        <f t="shared" si="2"/>
        <v>20</v>
      </c>
      <c r="B156" s="37" t="s">
        <v>814</v>
      </c>
      <c r="C156" s="9" t="s">
        <v>815</v>
      </c>
      <c r="D156" s="9" t="s">
        <v>327</v>
      </c>
      <c r="E156" s="10" t="s">
        <v>816</v>
      </c>
      <c r="F156" s="11" t="s">
        <v>22</v>
      </c>
    </row>
    <row r="157" spans="1:28" x14ac:dyDescent="0.2">
      <c r="A157" s="1">
        <f t="shared" si="2"/>
        <v>20</v>
      </c>
      <c r="B157" s="37" t="s">
        <v>817</v>
      </c>
      <c r="C157" s="9" t="s">
        <v>818</v>
      </c>
      <c r="D157" s="9" t="s">
        <v>339</v>
      </c>
      <c r="E157" s="10" t="s">
        <v>819</v>
      </c>
      <c r="F157" s="11" t="s">
        <v>22</v>
      </c>
    </row>
    <row r="158" spans="1:28" x14ac:dyDescent="0.2">
      <c r="A158" s="1">
        <f t="shared" si="2"/>
        <v>20</v>
      </c>
      <c r="B158" s="37" t="s">
        <v>820</v>
      </c>
      <c r="C158" s="9" t="s">
        <v>821</v>
      </c>
      <c r="D158" s="9" t="s">
        <v>327</v>
      </c>
      <c r="E158" s="10" t="s">
        <v>822</v>
      </c>
      <c r="F158" s="11" t="s">
        <v>22</v>
      </c>
    </row>
    <row r="159" spans="1:28" x14ac:dyDescent="0.2">
      <c r="A159" s="1">
        <f t="shared" si="2"/>
        <v>20</v>
      </c>
      <c r="B159" s="37" t="s">
        <v>823</v>
      </c>
      <c r="C159" s="9" t="s">
        <v>824</v>
      </c>
      <c r="D159" s="9" t="s">
        <v>339</v>
      </c>
      <c r="E159" s="10" t="s">
        <v>825</v>
      </c>
      <c r="F159" s="11" t="s">
        <v>22</v>
      </c>
    </row>
    <row r="160" spans="1:28" x14ac:dyDescent="0.2">
      <c r="A160" s="1">
        <f t="shared" si="2"/>
        <v>20</v>
      </c>
      <c r="B160" s="37" t="s">
        <v>148</v>
      </c>
      <c r="C160" s="9" t="s">
        <v>308</v>
      </c>
      <c r="D160" s="9" t="s">
        <v>339</v>
      </c>
      <c r="E160" s="10" t="s">
        <v>307</v>
      </c>
      <c r="F160" s="11" t="s">
        <v>22</v>
      </c>
    </row>
    <row r="161" spans="1:6" x14ac:dyDescent="0.2">
      <c r="A161" s="1">
        <f t="shared" si="2"/>
        <v>20</v>
      </c>
      <c r="B161" s="37" t="s">
        <v>826</v>
      </c>
      <c r="C161" s="9" t="s">
        <v>827</v>
      </c>
      <c r="D161" s="9" t="s">
        <v>339</v>
      </c>
      <c r="E161" s="10" t="s">
        <v>828</v>
      </c>
      <c r="F161" s="11" t="s">
        <v>22</v>
      </c>
    </row>
    <row r="162" spans="1:6" x14ac:dyDescent="0.2">
      <c r="A162" s="1">
        <f t="shared" si="2"/>
        <v>20</v>
      </c>
      <c r="B162" s="37" t="s">
        <v>829</v>
      </c>
      <c r="C162" s="9" t="s">
        <v>830</v>
      </c>
      <c r="D162" s="9" t="s">
        <v>339</v>
      </c>
      <c r="E162" s="10" t="s">
        <v>831</v>
      </c>
      <c r="F162" s="11" t="s">
        <v>22</v>
      </c>
    </row>
    <row r="163" spans="1:6" x14ac:dyDescent="0.2">
      <c r="A163" s="1">
        <f t="shared" si="2"/>
        <v>20</v>
      </c>
      <c r="B163" s="8" t="s">
        <v>234</v>
      </c>
      <c r="C163" s="9" t="s">
        <v>832</v>
      </c>
      <c r="D163" s="9" t="s">
        <v>339</v>
      </c>
      <c r="E163" s="10" t="s">
        <v>833</v>
      </c>
      <c r="F163" s="11" t="s">
        <v>22</v>
      </c>
    </row>
    <row r="164" spans="1:6" x14ac:dyDescent="0.2">
      <c r="A164" s="1">
        <f t="shared" si="2"/>
        <v>20</v>
      </c>
      <c r="B164" s="37" t="s">
        <v>834</v>
      </c>
      <c r="C164" s="9" t="s">
        <v>835</v>
      </c>
      <c r="D164" s="9" t="s">
        <v>339</v>
      </c>
      <c r="E164" s="10" t="s">
        <v>836</v>
      </c>
      <c r="F164" s="11" t="s">
        <v>22</v>
      </c>
    </row>
    <row r="165" spans="1:6" x14ac:dyDescent="0.2">
      <c r="A165" s="1">
        <f t="shared" si="2"/>
        <v>20</v>
      </c>
      <c r="B165" s="37" t="s">
        <v>837</v>
      </c>
      <c r="C165" s="9" t="s">
        <v>838</v>
      </c>
      <c r="D165" s="9" t="s">
        <v>327</v>
      </c>
      <c r="E165" s="10" t="s">
        <v>839</v>
      </c>
      <c r="F165" s="11" t="s">
        <v>22</v>
      </c>
    </row>
    <row r="166" spans="1:6" x14ac:dyDescent="0.2">
      <c r="A166" s="1">
        <f t="shared" si="2"/>
        <v>20</v>
      </c>
      <c r="B166" s="37" t="s">
        <v>840</v>
      </c>
      <c r="C166" s="9" t="s">
        <v>841</v>
      </c>
      <c r="D166" s="9" t="s">
        <v>339</v>
      </c>
      <c r="E166" s="10" t="s">
        <v>842</v>
      </c>
      <c r="F166" s="11" t="s">
        <v>22</v>
      </c>
    </row>
    <row r="167" spans="1:6" x14ac:dyDescent="0.2">
      <c r="A167" s="1">
        <f t="shared" si="2"/>
        <v>20</v>
      </c>
      <c r="B167" s="37" t="s">
        <v>843</v>
      </c>
      <c r="C167" s="9" t="s">
        <v>844</v>
      </c>
      <c r="D167" s="9" t="s">
        <v>339</v>
      </c>
      <c r="E167" s="10" t="s">
        <v>845</v>
      </c>
      <c r="F167" s="11" t="s">
        <v>22</v>
      </c>
    </row>
    <row r="168" spans="1:6" x14ac:dyDescent="0.2">
      <c r="A168" s="1">
        <f t="shared" si="2"/>
        <v>20</v>
      </c>
      <c r="B168" s="37" t="s">
        <v>846</v>
      </c>
      <c r="C168" s="9" t="s">
        <v>847</v>
      </c>
      <c r="D168" s="9" t="s">
        <v>339</v>
      </c>
      <c r="E168" s="10" t="s">
        <v>848</v>
      </c>
      <c r="F168" s="11" t="s">
        <v>22</v>
      </c>
    </row>
    <row r="169" spans="1:6" x14ac:dyDescent="0.2">
      <c r="A169" s="1">
        <f t="shared" si="2"/>
        <v>20</v>
      </c>
      <c r="B169" s="38" t="s">
        <v>849</v>
      </c>
      <c r="C169" s="13" t="s">
        <v>850</v>
      </c>
      <c r="D169" s="13" t="s">
        <v>339</v>
      </c>
      <c r="E169" s="14" t="s">
        <v>851</v>
      </c>
      <c r="F169" s="15" t="s">
        <v>22</v>
      </c>
    </row>
    <row r="170" spans="1:6" x14ac:dyDescent="0.2">
      <c r="A170" s="1">
        <f t="shared" si="2"/>
        <v>20</v>
      </c>
      <c r="B170" s="38" t="s">
        <v>852</v>
      </c>
      <c r="C170" s="13" t="s">
        <v>853</v>
      </c>
      <c r="D170" s="13" t="s">
        <v>339</v>
      </c>
      <c r="E170" s="14" t="s">
        <v>854</v>
      </c>
      <c r="F170" s="15" t="s">
        <v>22</v>
      </c>
    </row>
    <row r="171" spans="1:6" x14ac:dyDescent="0.2">
      <c r="A171" s="1">
        <f t="shared" si="2"/>
        <v>20</v>
      </c>
      <c r="B171" s="38" t="s">
        <v>855</v>
      </c>
      <c r="C171" s="13" t="s">
        <v>856</v>
      </c>
      <c r="D171" s="13" t="s">
        <v>339</v>
      </c>
      <c r="E171" s="14" t="s">
        <v>857</v>
      </c>
      <c r="F171" s="15" t="s">
        <v>22</v>
      </c>
    </row>
    <row r="172" spans="1:6" x14ac:dyDescent="0.2">
      <c r="A172" s="1">
        <f t="shared" si="2"/>
        <v>20</v>
      </c>
      <c r="B172" s="38" t="s">
        <v>858</v>
      </c>
      <c r="C172" s="13" t="s">
        <v>859</v>
      </c>
      <c r="D172" s="13" t="s">
        <v>327</v>
      </c>
      <c r="E172" s="14" t="s">
        <v>860</v>
      </c>
      <c r="F172" s="15" t="s">
        <v>22</v>
      </c>
    </row>
    <row r="173" spans="1:6" x14ac:dyDescent="0.2">
      <c r="A173" s="1">
        <f t="shared" si="2"/>
        <v>20</v>
      </c>
      <c r="B173" s="38" t="s">
        <v>861</v>
      </c>
      <c r="C173" s="13" t="s">
        <v>862</v>
      </c>
      <c r="D173" s="13" t="s">
        <v>327</v>
      </c>
      <c r="E173" s="14" t="s">
        <v>863</v>
      </c>
      <c r="F173" s="15" t="s">
        <v>22</v>
      </c>
    </row>
    <row r="174" spans="1:6" x14ac:dyDescent="0.2">
      <c r="A174" s="1">
        <f t="shared" si="2"/>
        <v>20</v>
      </c>
      <c r="B174" s="12" t="s">
        <v>864</v>
      </c>
      <c r="C174" s="9" t="s">
        <v>865</v>
      </c>
      <c r="D174" s="9" t="s">
        <v>339</v>
      </c>
      <c r="E174" s="10" t="s">
        <v>866</v>
      </c>
      <c r="F174" s="11" t="s">
        <v>22</v>
      </c>
    </row>
    <row r="175" spans="1:6" x14ac:dyDescent="0.2">
      <c r="A175" s="1">
        <f t="shared" si="2"/>
        <v>20</v>
      </c>
      <c r="B175" s="38" t="s">
        <v>867</v>
      </c>
      <c r="C175" s="13" t="s">
        <v>868</v>
      </c>
      <c r="D175" s="13" t="s">
        <v>327</v>
      </c>
      <c r="E175" s="14" t="s">
        <v>869</v>
      </c>
      <c r="F175" s="15" t="s">
        <v>22</v>
      </c>
    </row>
    <row r="176" spans="1:6" x14ac:dyDescent="0.2">
      <c r="A176" s="1">
        <f t="shared" si="2"/>
        <v>20</v>
      </c>
      <c r="B176" s="38" t="s">
        <v>870</v>
      </c>
      <c r="C176" s="13" t="s">
        <v>871</v>
      </c>
      <c r="D176" s="13" t="s">
        <v>327</v>
      </c>
      <c r="E176" s="14" t="s">
        <v>872</v>
      </c>
      <c r="F176" s="15" t="s">
        <v>22</v>
      </c>
    </row>
    <row r="177" spans="1:6" x14ac:dyDescent="0.2">
      <c r="A177" s="1">
        <f t="shared" si="2"/>
        <v>20</v>
      </c>
      <c r="B177" s="38" t="s">
        <v>873</v>
      </c>
      <c r="C177" s="13" t="s">
        <v>874</v>
      </c>
      <c r="D177" s="13" t="s">
        <v>339</v>
      </c>
      <c r="E177" s="14" t="s">
        <v>875</v>
      </c>
      <c r="F177" s="15" t="s">
        <v>22</v>
      </c>
    </row>
    <row r="178" spans="1:6" x14ac:dyDescent="0.2">
      <c r="A178" s="1">
        <f t="shared" si="2"/>
        <v>20</v>
      </c>
      <c r="B178" s="38" t="s">
        <v>876</v>
      </c>
      <c r="C178" s="13" t="s">
        <v>877</v>
      </c>
      <c r="D178" s="13" t="s">
        <v>339</v>
      </c>
      <c r="E178" s="14" t="s">
        <v>878</v>
      </c>
      <c r="F178" s="15" t="s">
        <v>22</v>
      </c>
    </row>
    <row r="179" spans="1:6" x14ac:dyDescent="0.2">
      <c r="A179" s="1">
        <f t="shared" si="2"/>
        <v>20</v>
      </c>
      <c r="B179" s="38" t="s">
        <v>879</v>
      </c>
      <c r="C179" s="13" t="s">
        <v>880</v>
      </c>
      <c r="D179" s="13" t="s">
        <v>327</v>
      </c>
      <c r="E179" s="14" t="s">
        <v>881</v>
      </c>
      <c r="F179" s="15" t="s">
        <v>22</v>
      </c>
    </row>
    <row r="180" spans="1:6" x14ac:dyDescent="0.2">
      <c r="A180" s="1">
        <f t="shared" si="2"/>
        <v>20</v>
      </c>
      <c r="B180" s="38" t="s">
        <v>882</v>
      </c>
      <c r="C180" s="13" t="s">
        <v>883</v>
      </c>
      <c r="D180" s="13" t="s">
        <v>327</v>
      </c>
      <c r="E180" s="14" t="s">
        <v>884</v>
      </c>
      <c r="F180" s="15" t="s">
        <v>22</v>
      </c>
    </row>
    <row r="181" spans="1:6" x14ac:dyDescent="0.2">
      <c r="A181" s="1">
        <f t="shared" si="2"/>
        <v>20</v>
      </c>
      <c r="B181" s="12" t="s">
        <v>885</v>
      </c>
      <c r="C181" s="13" t="s">
        <v>886</v>
      </c>
      <c r="D181" s="13" t="s">
        <v>339</v>
      </c>
      <c r="E181" s="14" t="s">
        <v>887</v>
      </c>
      <c r="F181" s="15" t="s">
        <v>22</v>
      </c>
    </row>
    <row r="182" spans="1:6" x14ac:dyDescent="0.2">
      <c r="A182" s="1">
        <f t="shared" si="2"/>
        <v>20</v>
      </c>
      <c r="B182" s="37" t="s">
        <v>888</v>
      </c>
      <c r="C182" s="9" t="s">
        <v>889</v>
      </c>
      <c r="D182" s="9" t="s">
        <v>339</v>
      </c>
      <c r="E182" s="10" t="s">
        <v>890</v>
      </c>
      <c r="F182" s="11" t="s">
        <v>22</v>
      </c>
    </row>
    <row r="183" spans="1:6" x14ac:dyDescent="0.2">
      <c r="A183" s="1">
        <f t="shared" si="2"/>
        <v>20</v>
      </c>
      <c r="B183" s="37" t="s">
        <v>119</v>
      </c>
      <c r="C183" s="9" t="s">
        <v>296</v>
      </c>
      <c r="D183" s="9" t="s">
        <v>339</v>
      </c>
      <c r="E183" s="10" t="s">
        <v>295</v>
      </c>
      <c r="F183" s="11" t="s">
        <v>22</v>
      </c>
    </row>
    <row r="184" spans="1:6" x14ac:dyDescent="0.2">
      <c r="A184" s="1">
        <f t="shared" si="2"/>
        <v>20</v>
      </c>
      <c r="B184" s="38" t="s">
        <v>852</v>
      </c>
      <c r="C184" s="33" t="s">
        <v>891</v>
      </c>
      <c r="D184" s="13" t="s">
        <v>339</v>
      </c>
      <c r="E184" s="14" t="s">
        <v>854</v>
      </c>
      <c r="F184" s="15" t="s">
        <v>22</v>
      </c>
    </row>
    <row r="185" spans="1:6" x14ac:dyDescent="0.2">
      <c r="A185" s="1">
        <f t="shared" si="2"/>
        <v>20</v>
      </c>
      <c r="B185" s="38" t="s">
        <v>229</v>
      </c>
      <c r="C185" s="13" t="s">
        <v>892</v>
      </c>
      <c r="D185" s="13" t="s">
        <v>339</v>
      </c>
      <c r="E185" s="14" t="s">
        <v>893</v>
      </c>
      <c r="F185" s="15" t="s">
        <v>22</v>
      </c>
    </row>
    <row r="186" spans="1:6" x14ac:dyDescent="0.2">
      <c r="A186" s="1">
        <f t="shared" si="2"/>
        <v>20</v>
      </c>
      <c r="B186" s="38" t="s">
        <v>91</v>
      </c>
      <c r="C186" s="13" t="s">
        <v>278</v>
      </c>
      <c r="D186" s="13" t="s">
        <v>327</v>
      </c>
      <c r="E186" s="14" t="s">
        <v>277</v>
      </c>
      <c r="F186" s="15" t="s">
        <v>22</v>
      </c>
    </row>
    <row r="187" spans="1:6" x14ac:dyDescent="0.2">
      <c r="A187" s="1">
        <f t="shared" si="2"/>
        <v>20</v>
      </c>
      <c r="B187" s="38" t="s">
        <v>894</v>
      </c>
      <c r="C187" s="13" t="s">
        <v>895</v>
      </c>
      <c r="D187" s="13" t="s">
        <v>327</v>
      </c>
      <c r="E187" s="14" t="s">
        <v>896</v>
      </c>
      <c r="F187" s="15" t="s">
        <v>22</v>
      </c>
    </row>
    <row r="188" spans="1:6" x14ac:dyDescent="0.2">
      <c r="A188" s="1">
        <f t="shared" si="2"/>
        <v>20</v>
      </c>
      <c r="B188" s="38" t="s">
        <v>897</v>
      </c>
      <c r="C188" s="13" t="s">
        <v>898</v>
      </c>
      <c r="D188" s="13" t="s">
        <v>339</v>
      </c>
      <c r="E188" s="14" t="s">
        <v>899</v>
      </c>
      <c r="F188" s="15" t="s">
        <v>22</v>
      </c>
    </row>
    <row r="189" spans="1:6" x14ac:dyDescent="0.2">
      <c r="A189" s="1">
        <f t="shared" si="2"/>
        <v>20</v>
      </c>
      <c r="B189" s="37" t="s">
        <v>900</v>
      </c>
      <c r="C189" s="9" t="s">
        <v>901</v>
      </c>
      <c r="D189" s="9" t="s">
        <v>339</v>
      </c>
      <c r="E189" s="10" t="s">
        <v>902</v>
      </c>
      <c r="F189" s="11" t="s">
        <v>22</v>
      </c>
    </row>
    <row r="190" spans="1:6" x14ac:dyDescent="0.2">
      <c r="A190" s="1">
        <f t="shared" si="2"/>
        <v>20</v>
      </c>
      <c r="B190" s="37" t="s">
        <v>903</v>
      </c>
      <c r="C190" s="9" t="s">
        <v>904</v>
      </c>
      <c r="D190" s="9" t="s">
        <v>327</v>
      </c>
      <c r="E190" s="10" t="s">
        <v>905</v>
      </c>
      <c r="F190" s="11" t="s">
        <v>22</v>
      </c>
    </row>
    <row r="191" spans="1:6" x14ac:dyDescent="0.2">
      <c r="A191" s="1">
        <f t="shared" si="2"/>
        <v>21</v>
      </c>
      <c r="B191" s="37" t="s">
        <v>906</v>
      </c>
      <c r="C191" s="9" t="s">
        <v>907</v>
      </c>
      <c r="D191" s="9" t="s">
        <v>339</v>
      </c>
      <c r="E191" s="41" t="s">
        <v>908</v>
      </c>
      <c r="F191" s="11" t="s">
        <v>22</v>
      </c>
    </row>
    <row r="192" spans="1:6" x14ac:dyDescent="0.2">
      <c r="A192" s="1">
        <f t="shared" si="2"/>
        <v>20</v>
      </c>
      <c r="B192" s="37" t="s">
        <v>229</v>
      </c>
      <c r="C192" s="9" t="s">
        <v>892</v>
      </c>
      <c r="D192" s="9" t="s">
        <v>339</v>
      </c>
      <c r="E192" s="10" t="s">
        <v>893</v>
      </c>
      <c r="F192" s="11" t="s">
        <v>22</v>
      </c>
    </row>
    <row r="193" spans="1:6" x14ac:dyDescent="0.2">
      <c r="A193" s="1">
        <f t="shared" si="2"/>
        <v>20</v>
      </c>
      <c r="B193" s="37" t="s">
        <v>909</v>
      </c>
      <c r="C193" s="9" t="s">
        <v>910</v>
      </c>
      <c r="D193" s="9" t="s">
        <v>339</v>
      </c>
      <c r="E193" s="10" t="s">
        <v>911</v>
      </c>
      <c r="F193" s="11" t="s">
        <v>22</v>
      </c>
    </row>
    <row r="194" spans="1:6" x14ac:dyDescent="0.2">
      <c r="A194" s="1">
        <f t="shared" si="2"/>
        <v>20</v>
      </c>
      <c r="B194" s="37" t="s">
        <v>152</v>
      </c>
      <c r="C194" s="9" t="s">
        <v>310</v>
      </c>
      <c r="D194" s="9" t="s">
        <v>339</v>
      </c>
      <c r="E194" s="10" t="s">
        <v>309</v>
      </c>
      <c r="F194" s="11" t="s">
        <v>22</v>
      </c>
    </row>
    <row r="195" spans="1:6" x14ac:dyDescent="0.2">
      <c r="A195" s="1">
        <f t="shared" si="2"/>
        <v>20</v>
      </c>
      <c r="B195" s="37" t="s">
        <v>912</v>
      </c>
      <c r="C195" s="9" t="s">
        <v>913</v>
      </c>
      <c r="D195" s="9" t="s">
        <v>327</v>
      </c>
      <c r="E195" s="10" t="s">
        <v>914</v>
      </c>
      <c r="F195" s="11" t="s">
        <v>22</v>
      </c>
    </row>
    <row r="196" spans="1:6" x14ac:dyDescent="0.2">
      <c r="A196" s="1">
        <f t="shared" si="2"/>
        <v>20</v>
      </c>
      <c r="B196" s="37" t="s">
        <v>915</v>
      </c>
      <c r="C196" s="13" t="s">
        <v>916</v>
      </c>
      <c r="D196" s="13" t="s">
        <v>339</v>
      </c>
      <c r="E196" s="14" t="s">
        <v>917</v>
      </c>
      <c r="F196" s="15" t="s">
        <v>22</v>
      </c>
    </row>
    <row r="197" spans="1:6" x14ac:dyDescent="0.2">
      <c r="A197" s="1">
        <f t="shared" si="2"/>
        <v>20</v>
      </c>
      <c r="B197" s="37" t="s">
        <v>918</v>
      </c>
      <c r="C197" s="9" t="s">
        <v>919</v>
      </c>
      <c r="D197" s="9" t="s">
        <v>339</v>
      </c>
      <c r="E197" s="10" t="s">
        <v>920</v>
      </c>
      <c r="F197" s="11" t="s">
        <v>22</v>
      </c>
    </row>
    <row r="198" spans="1:6" x14ac:dyDescent="0.2">
      <c r="A198" s="1">
        <f t="shared" ref="A198:A261" si="3">+LEN(E198)</f>
        <v>20</v>
      </c>
      <c r="B198" s="37" t="s">
        <v>921</v>
      </c>
      <c r="C198" s="9" t="s">
        <v>922</v>
      </c>
      <c r="D198" s="9" t="s">
        <v>339</v>
      </c>
      <c r="E198" s="10" t="s">
        <v>923</v>
      </c>
      <c r="F198" s="11" t="s">
        <v>22</v>
      </c>
    </row>
    <row r="199" spans="1:6" x14ac:dyDescent="0.2">
      <c r="A199" s="1">
        <f t="shared" si="3"/>
        <v>20</v>
      </c>
      <c r="B199" s="35" t="s">
        <v>924</v>
      </c>
      <c r="C199" s="9" t="s">
        <v>925</v>
      </c>
      <c r="D199" s="9" t="s">
        <v>339</v>
      </c>
      <c r="E199" s="8" t="s">
        <v>926</v>
      </c>
      <c r="F199" s="11" t="s">
        <v>22</v>
      </c>
    </row>
    <row r="200" spans="1:6" x14ac:dyDescent="0.2">
      <c r="A200" s="1">
        <f t="shared" si="3"/>
        <v>20</v>
      </c>
      <c r="B200" s="35" t="s">
        <v>927</v>
      </c>
      <c r="C200" s="9" t="s">
        <v>928</v>
      </c>
      <c r="D200" s="9" t="s">
        <v>339</v>
      </c>
      <c r="E200" s="10" t="s">
        <v>929</v>
      </c>
      <c r="F200" s="11" t="s">
        <v>22</v>
      </c>
    </row>
    <row r="201" spans="1:6" x14ac:dyDescent="0.2">
      <c r="A201" s="1">
        <f t="shared" si="3"/>
        <v>20</v>
      </c>
      <c r="B201" s="35" t="s">
        <v>179</v>
      </c>
      <c r="C201" s="9" t="s">
        <v>930</v>
      </c>
      <c r="D201" s="9" t="s">
        <v>339</v>
      </c>
      <c r="E201" s="10" t="s">
        <v>931</v>
      </c>
      <c r="F201" s="11" t="s">
        <v>22</v>
      </c>
    </row>
    <row r="202" spans="1:6" x14ac:dyDescent="0.2">
      <c r="A202" s="1">
        <f t="shared" si="3"/>
        <v>20</v>
      </c>
      <c r="B202" s="8" t="s">
        <v>932</v>
      </c>
      <c r="C202" s="9" t="s">
        <v>933</v>
      </c>
      <c r="D202" s="9" t="s">
        <v>339</v>
      </c>
      <c r="E202" s="10" t="s">
        <v>934</v>
      </c>
      <c r="F202" s="11" t="s">
        <v>22</v>
      </c>
    </row>
    <row r="203" spans="1:6" x14ac:dyDescent="0.2">
      <c r="A203" s="1">
        <f t="shared" si="3"/>
        <v>20</v>
      </c>
      <c r="B203" s="8" t="s">
        <v>935</v>
      </c>
      <c r="C203" s="9" t="s">
        <v>936</v>
      </c>
      <c r="D203" s="9" t="s">
        <v>327</v>
      </c>
      <c r="E203" s="10" t="s">
        <v>937</v>
      </c>
      <c r="F203" s="11" t="s">
        <v>22</v>
      </c>
    </row>
    <row r="204" spans="1:6" x14ac:dyDescent="0.2">
      <c r="A204" s="1">
        <f t="shared" si="3"/>
        <v>20</v>
      </c>
      <c r="B204" s="8" t="s">
        <v>938</v>
      </c>
      <c r="C204" s="9" t="s">
        <v>939</v>
      </c>
      <c r="D204" s="9" t="s">
        <v>339</v>
      </c>
      <c r="E204" s="10" t="s">
        <v>940</v>
      </c>
      <c r="F204" s="11" t="s">
        <v>22</v>
      </c>
    </row>
    <row r="205" spans="1:6" x14ac:dyDescent="0.2">
      <c r="A205" s="1">
        <f t="shared" si="3"/>
        <v>20</v>
      </c>
      <c r="B205" s="8" t="s">
        <v>941</v>
      </c>
      <c r="C205" s="9" t="s">
        <v>942</v>
      </c>
      <c r="D205" s="9" t="s">
        <v>339</v>
      </c>
      <c r="E205" s="10" t="s">
        <v>943</v>
      </c>
      <c r="F205" s="11" t="s">
        <v>22</v>
      </c>
    </row>
    <row r="206" spans="1:6" x14ac:dyDescent="0.2">
      <c r="A206" s="1">
        <f t="shared" si="3"/>
        <v>20</v>
      </c>
      <c r="B206" s="8" t="s">
        <v>944</v>
      </c>
      <c r="C206" s="9" t="s">
        <v>945</v>
      </c>
      <c r="D206" s="9" t="s">
        <v>339</v>
      </c>
      <c r="E206" s="10" t="s">
        <v>946</v>
      </c>
      <c r="F206" s="11" t="s">
        <v>22</v>
      </c>
    </row>
    <row r="207" spans="1:6" x14ac:dyDescent="0.2">
      <c r="A207" s="1">
        <f t="shared" si="3"/>
        <v>20</v>
      </c>
      <c r="B207" s="8" t="s">
        <v>947</v>
      </c>
      <c r="C207" s="9" t="s">
        <v>948</v>
      </c>
      <c r="D207" s="9" t="s">
        <v>327</v>
      </c>
      <c r="E207" s="10" t="s">
        <v>949</v>
      </c>
      <c r="F207" s="11" t="s">
        <v>22</v>
      </c>
    </row>
    <row r="208" spans="1:6" x14ac:dyDescent="0.2">
      <c r="A208" s="1">
        <f t="shared" si="3"/>
        <v>20</v>
      </c>
      <c r="B208" s="8" t="s">
        <v>950</v>
      </c>
      <c r="C208" s="9" t="s">
        <v>951</v>
      </c>
      <c r="D208" s="9" t="s">
        <v>327</v>
      </c>
      <c r="E208" s="10" t="s">
        <v>952</v>
      </c>
      <c r="F208" s="11" t="s">
        <v>22</v>
      </c>
    </row>
    <row r="209" spans="1:6" x14ac:dyDescent="0.2">
      <c r="A209" s="1">
        <f t="shared" si="3"/>
        <v>20</v>
      </c>
      <c r="B209" s="8" t="s">
        <v>953</v>
      </c>
      <c r="C209" s="13" t="s">
        <v>954</v>
      </c>
      <c r="D209" s="13" t="s">
        <v>339</v>
      </c>
      <c r="E209" s="14" t="s">
        <v>955</v>
      </c>
      <c r="F209" s="15" t="s">
        <v>22</v>
      </c>
    </row>
    <row r="210" spans="1:6" x14ac:dyDescent="0.2">
      <c r="A210" s="1">
        <f t="shared" si="3"/>
        <v>21</v>
      </c>
      <c r="B210" s="8" t="s">
        <v>956</v>
      </c>
      <c r="C210" s="13" t="s">
        <v>957</v>
      </c>
      <c r="D210" s="13" t="s">
        <v>339</v>
      </c>
      <c r="E210" s="14" t="s">
        <v>958</v>
      </c>
      <c r="F210" s="15" t="s">
        <v>22</v>
      </c>
    </row>
    <row r="211" spans="1:6" x14ac:dyDescent="0.2">
      <c r="A211" s="1">
        <f t="shared" si="3"/>
        <v>20</v>
      </c>
      <c r="B211" s="8" t="s">
        <v>959</v>
      </c>
      <c r="C211" s="9" t="s">
        <v>960</v>
      </c>
      <c r="D211" s="9" t="s">
        <v>339</v>
      </c>
      <c r="E211" s="10" t="s">
        <v>961</v>
      </c>
      <c r="F211" s="11" t="s">
        <v>22</v>
      </c>
    </row>
    <row r="212" spans="1:6" x14ac:dyDescent="0.2">
      <c r="A212" s="1">
        <f t="shared" si="3"/>
        <v>20</v>
      </c>
      <c r="B212" s="8" t="s">
        <v>962</v>
      </c>
      <c r="C212" s="9" t="s">
        <v>963</v>
      </c>
      <c r="D212" s="9" t="s">
        <v>339</v>
      </c>
      <c r="E212" s="10" t="s">
        <v>964</v>
      </c>
      <c r="F212" s="11" t="s">
        <v>22</v>
      </c>
    </row>
    <row r="213" spans="1:6" x14ac:dyDescent="0.2">
      <c r="A213" s="1">
        <f t="shared" si="3"/>
        <v>20</v>
      </c>
      <c r="B213" s="8" t="s">
        <v>965</v>
      </c>
      <c r="C213" s="9" t="s">
        <v>966</v>
      </c>
      <c r="D213" s="9" t="s">
        <v>327</v>
      </c>
      <c r="E213" s="10" t="s">
        <v>967</v>
      </c>
      <c r="F213" s="11" t="s">
        <v>22</v>
      </c>
    </row>
    <row r="214" spans="1:6" x14ac:dyDescent="0.2">
      <c r="A214" s="1">
        <f t="shared" si="3"/>
        <v>20</v>
      </c>
      <c r="B214" s="8" t="s">
        <v>968</v>
      </c>
      <c r="C214" s="9" t="s">
        <v>969</v>
      </c>
      <c r="D214" s="9" t="s">
        <v>327</v>
      </c>
      <c r="E214" s="10" t="s">
        <v>970</v>
      </c>
      <c r="F214" s="11" t="s">
        <v>22</v>
      </c>
    </row>
    <row r="215" spans="1:6" x14ac:dyDescent="0.2">
      <c r="A215" s="1">
        <f t="shared" si="3"/>
        <v>20</v>
      </c>
      <c r="B215" s="8" t="s">
        <v>971</v>
      </c>
      <c r="C215" s="9" t="s">
        <v>972</v>
      </c>
      <c r="D215" s="9" t="s">
        <v>339</v>
      </c>
      <c r="E215" s="10" t="s">
        <v>973</v>
      </c>
      <c r="F215" s="11" t="s">
        <v>22</v>
      </c>
    </row>
    <row r="216" spans="1:6" x14ac:dyDescent="0.2">
      <c r="A216" s="1">
        <f t="shared" si="3"/>
        <v>20</v>
      </c>
      <c r="B216" s="8" t="s">
        <v>974</v>
      </c>
      <c r="C216" s="9" t="s">
        <v>975</v>
      </c>
      <c r="D216" s="9" t="s">
        <v>327</v>
      </c>
      <c r="E216" s="10" t="s">
        <v>976</v>
      </c>
      <c r="F216" s="11" t="s">
        <v>22</v>
      </c>
    </row>
    <row r="217" spans="1:6" x14ac:dyDescent="0.2">
      <c r="A217" s="1">
        <f t="shared" si="3"/>
        <v>20</v>
      </c>
      <c r="B217" s="8" t="s">
        <v>977</v>
      </c>
      <c r="C217" s="9" t="s">
        <v>978</v>
      </c>
      <c r="D217" s="9" t="s">
        <v>327</v>
      </c>
      <c r="E217" s="10" t="s">
        <v>979</v>
      </c>
      <c r="F217" s="11" t="s">
        <v>22</v>
      </c>
    </row>
    <row r="218" spans="1:6" x14ac:dyDescent="0.2">
      <c r="A218" s="1">
        <f t="shared" si="3"/>
        <v>20</v>
      </c>
      <c r="B218" s="8" t="s">
        <v>980</v>
      </c>
      <c r="C218" s="9" t="s">
        <v>981</v>
      </c>
      <c r="D218" s="9" t="s">
        <v>339</v>
      </c>
      <c r="E218" s="10" t="s">
        <v>982</v>
      </c>
      <c r="F218" s="11" t="s">
        <v>22</v>
      </c>
    </row>
    <row r="219" spans="1:6" x14ac:dyDescent="0.2">
      <c r="A219" s="1">
        <f t="shared" si="3"/>
        <v>20</v>
      </c>
      <c r="B219" s="8" t="s">
        <v>30</v>
      </c>
      <c r="C219" s="9" t="s">
        <v>983</v>
      </c>
      <c r="D219" s="9" t="s">
        <v>339</v>
      </c>
      <c r="E219" s="10" t="s">
        <v>984</v>
      </c>
      <c r="F219" s="11" t="s">
        <v>22</v>
      </c>
    </row>
    <row r="220" spans="1:6" x14ac:dyDescent="0.2">
      <c r="A220" s="1">
        <f t="shared" ref="A220:A235" si="4">+LEN(E300)</f>
        <v>20</v>
      </c>
      <c r="B220" s="12" t="s">
        <v>985</v>
      </c>
      <c r="C220" s="33" t="s">
        <v>986</v>
      </c>
      <c r="D220" s="9" t="s">
        <v>339</v>
      </c>
      <c r="E220" s="34" t="s">
        <v>987</v>
      </c>
      <c r="F220" s="15" t="s">
        <v>22</v>
      </c>
    </row>
    <row r="221" spans="1:6" x14ac:dyDescent="0.2">
      <c r="A221" s="1">
        <f t="shared" si="4"/>
        <v>20</v>
      </c>
      <c r="B221" s="12" t="s">
        <v>988</v>
      </c>
      <c r="C221" s="33" t="s">
        <v>989</v>
      </c>
      <c r="D221" s="13" t="s">
        <v>339</v>
      </c>
      <c r="E221" s="34" t="s">
        <v>990</v>
      </c>
      <c r="F221" s="15" t="s">
        <v>22</v>
      </c>
    </row>
    <row r="222" spans="1:6" x14ac:dyDescent="0.2">
      <c r="A222" s="1">
        <f t="shared" si="4"/>
        <v>20</v>
      </c>
      <c r="B222" s="8" t="s">
        <v>991</v>
      </c>
      <c r="C222" s="36" t="s">
        <v>992</v>
      </c>
      <c r="D222" s="9" t="s">
        <v>339</v>
      </c>
      <c r="E222" s="39" t="s">
        <v>993</v>
      </c>
      <c r="F222" s="11" t="s">
        <v>22</v>
      </c>
    </row>
    <row r="223" spans="1:6" x14ac:dyDescent="0.2">
      <c r="A223" s="1">
        <f t="shared" si="4"/>
        <v>20</v>
      </c>
      <c r="B223" s="8" t="s">
        <v>994</v>
      </c>
      <c r="C223" s="36" t="s">
        <v>995</v>
      </c>
      <c r="D223" s="9" t="s">
        <v>339</v>
      </c>
      <c r="E223" s="39" t="s">
        <v>996</v>
      </c>
      <c r="F223" s="11" t="s">
        <v>22</v>
      </c>
    </row>
    <row r="224" spans="1:6" x14ac:dyDescent="0.2">
      <c r="A224" s="1">
        <f t="shared" si="4"/>
        <v>20</v>
      </c>
      <c r="B224" s="8" t="s">
        <v>997</v>
      </c>
      <c r="C224" s="36" t="s">
        <v>998</v>
      </c>
      <c r="D224" s="9" t="s">
        <v>327</v>
      </c>
      <c r="E224" s="39" t="s">
        <v>999</v>
      </c>
      <c r="F224" s="11" t="s">
        <v>22</v>
      </c>
    </row>
    <row r="225" spans="1:14" x14ac:dyDescent="0.2">
      <c r="A225" s="1">
        <f t="shared" si="4"/>
        <v>20</v>
      </c>
      <c r="B225" s="8" t="s">
        <v>202</v>
      </c>
      <c r="C225" s="36" t="s">
        <v>1000</v>
      </c>
      <c r="D225" s="9" t="s">
        <v>339</v>
      </c>
      <c r="E225" s="39" t="s">
        <v>1001</v>
      </c>
      <c r="F225" s="11" t="s">
        <v>22</v>
      </c>
    </row>
    <row r="226" spans="1:14" x14ac:dyDescent="0.2">
      <c r="A226" s="1">
        <f t="shared" si="4"/>
        <v>20</v>
      </c>
      <c r="B226" s="8" t="s">
        <v>1002</v>
      </c>
      <c r="C226" s="36" t="s">
        <v>1003</v>
      </c>
      <c r="D226" s="9" t="s">
        <v>327</v>
      </c>
      <c r="E226" s="39" t="s">
        <v>1004</v>
      </c>
      <c r="F226" s="11" t="s">
        <v>22</v>
      </c>
    </row>
    <row r="227" spans="1:14" x14ac:dyDescent="0.2">
      <c r="A227" s="1">
        <f t="shared" si="4"/>
        <v>20</v>
      </c>
      <c r="B227" s="8" t="s">
        <v>1005</v>
      </c>
      <c r="C227" s="36" t="s">
        <v>1006</v>
      </c>
      <c r="D227" s="9" t="s">
        <v>327</v>
      </c>
      <c r="E227" s="39" t="s">
        <v>1007</v>
      </c>
      <c r="F227" s="11" t="s">
        <v>22</v>
      </c>
    </row>
    <row r="228" spans="1:14" x14ac:dyDescent="0.2">
      <c r="A228" s="1">
        <f t="shared" si="4"/>
        <v>20</v>
      </c>
      <c r="B228" s="8" t="s">
        <v>1008</v>
      </c>
      <c r="C228" s="36" t="s">
        <v>1009</v>
      </c>
      <c r="D228" s="9" t="s">
        <v>339</v>
      </c>
      <c r="E228" s="39" t="s">
        <v>1010</v>
      </c>
      <c r="F228" s="11" t="s">
        <v>22</v>
      </c>
    </row>
    <row r="229" spans="1:14" x14ac:dyDescent="0.2">
      <c r="A229" s="1">
        <f t="shared" si="4"/>
        <v>20</v>
      </c>
      <c r="B229" s="8" t="s">
        <v>36</v>
      </c>
      <c r="C229" s="36" t="s">
        <v>1011</v>
      </c>
      <c r="D229" s="9" t="s">
        <v>339</v>
      </c>
      <c r="E229" s="39" t="s">
        <v>1012</v>
      </c>
      <c r="F229" s="11" t="s">
        <v>22</v>
      </c>
    </row>
    <row r="230" spans="1:14" x14ac:dyDescent="0.2">
      <c r="A230" s="1">
        <f t="shared" si="4"/>
        <v>20</v>
      </c>
      <c r="B230" s="12" t="s">
        <v>1013</v>
      </c>
      <c r="C230" s="33" t="s">
        <v>960</v>
      </c>
      <c r="D230" s="13" t="s">
        <v>339</v>
      </c>
      <c r="E230" s="34" t="s">
        <v>961</v>
      </c>
      <c r="F230" s="15" t="s">
        <v>22</v>
      </c>
    </row>
    <row r="231" spans="1:14" s="42" customFormat="1" ht="15" x14ac:dyDescent="0.25">
      <c r="A231" s="42">
        <f t="shared" si="4"/>
        <v>20</v>
      </c>
      <c r="B231" s="12" t="s">
        <v>1014</v>
      </c>
      <c r="C231" s="13" t="s">
        <v>1015</v>
      </c>
      <c r="D231" s="13" t="s">
        <v>339</v>
      </c>
      <c r="E231" s="14" t="s">
        <v>1016</v>
      </c>
      <c r="F231" s="15" t="s">
        <v>22</v>
      </c>
      <c r="M231" s="1"/>
      <c r="N231" s="1"/>
    </row>
    <row r="232" spans="1:14" s="42" customFormat="1" ht="15" x14ac:dyDescent="0.25">
      <c r="A232" s="42">
        <f t="shared" si="4"/>
        <v>20</v>
      </c>
      <c r="B232" s="12" t="s">
        <v>1017</v>
      </c>
      <c r="C232" s="13" t="s">
        <v>1018</v>
      </c>
      <c r="D232" s="13" t="s">
        <v>339</v>
      </c>
      <c r="E232" s="14" t="s">
        <v>1019</v>
      </c>
      <c r="F232" s="15" t="s">
        <v>22</v>
      </c>
      <c r="M232" s="1"/>
      <c r="N232" s="1"/>
    </row>
    <row r="233" spans="1:14" s="42" customFormat="1" ht="15" x14ac:dyDescent="0.25">
      <c r="A233" s="42">
        <f t="shared" si="4"/>
        <v>20</v>
      </c>
      <c r="B233" s="12" t="s">
        <v>1020</v>
      </c>
      <c r="C233" s="13" t="s">
        <v>1021</v>
      </c>
      <c r="D233" s="13" t="s">
        <v>339</v>
      </c>
      <c r="E233" s="14" t="s">
        <v>1022</v>
      </c>
      <c r="F233" s="15" t="s">
        <v>22</v>
      </c>
      <c r="M233" s="1"/>
      <c r="N233" s="1"/>
    </row>
    <row r="234" spans="1:14" s="42" customFormat="1" ht="15" x14ac:dyDescent="0.25">
      <c r="A234" s="42">
        <f t="shared" si="4"/>
        <v>20</v>
      </c>
      <c r="B234" s="12" t="s">
        <v>199</v>
      </c>
      <c r="C234" s="13" t="s">
        <v>1023</v>
      </c>
      <c r="D234" s="13" t="s">
        <v>339</v>
      </c>
      <c r="E234" s="14" t="s">
        <v>1024</v>
      </c>
      <c r="F234" s="15" t="s">
        <v>22</v>
      </c>
      <c r="M234" s="1"/>
      <c r="N234" s="1"/>
    </row>
    <row r="235" spans="1:14" s="42" customFormat="1" ht="15" x14ac:dyDescent="0.25">
      <c r="A235" s="42">
        <f t="shared" si="4"/>
        <v>20</v>
      </c>
      <c r="B235" s="12" t="s">
        <v>1025</v>
      </c>
      <c r="C235" s="13" t="s">
        <v>1026</v>
      </c>
      <c r="D235" s="13" t="s">
        <v>339</v>
      </c>
      <c r="E235" s="14" t="s">
        <v>1027</v>
      </c>
      <c r="F235" s="15" t="s">
        <v>22</v>
      </c>
      <c r="M235" s="1"/>
      <c r="N235" s="1"/>
    </row>
    <row r="236" spans="1:14" x14ac:dyDescent="0.2">
      <c r="A236" s="1">
        <f t="shared" si="3"/>
        <v>20</v>
      </c>
      <c r="B236" s="12" t="s">
        <v>1028</v>
      </c>
      <c r="C236" s="13" t="s">
        <v>1029</v>
      </c>
      <c r="D236" s="13" t="s">
        <v>339</v>
      </c>
      <c r="E236" s="14" t="s">
        <v>1030</v>
      </c>
      <c r="F236" s="15" t="s">
        <v>22</v>
      </c>
    </row>
    <row r="237" spans="1:14" x14ac:dyDescent="0.2">
      <c r="A237" s="1">
        <f t="shared" si="3"/>
        <v>21</v>
      </c>
      <c r="B237" s="12" t="s">
        <v>1031</v>
      </c>
      <c r="C237" s="13" t="s">
        <v>1032</v>
      </c>
      <c r="D237" s="13" t="s">
        <v>339</v>
      </c>
      <c r="E237" s="14" t="s">
        <v>1033</v>
      </c>
      <c r="F237" s="15" t="s">
        <v>22</v>
      </c>
    </row>
    <row r="238" spans="1:14" x14ac:dyDescent="0.2">
      <c r="A238" s="1">
        <f t="shared" si="3"/>
        <v>20</v>
      </c>
      <c r="B238" s="12" t="s">
        <v>1034</v>
      </c>
      <c r="C238" s="13" t="s">
        <v>1035</v>
      </c>
      <c r="D238" s="13" t="s">
        <v>327</v>
      </c>
      <c r="E238" s="14" t="s">
        <v>1036</v>
      </c>
      <c r="F238" s="15" t="s">
        <v>22</v>
      </c>
    </row>
    <row r="239" spans="1:14" x14ac:dyDescent="0.2">
      <c r="A239" s="1">
        <f t="shared" si="3"/>
        <v>20</v>
      </c>
      <c r="B239" s="12" t="s">
        <v>1037</v>
      </c>
      <c r="C239" s="13" t="s">
        <v>1038</v>
      </c>
      <c r="D239" s="13" t="s">
        <v>339</v>
      </c>
      <c r="E239" s="14" t="s">
        <v>1039</v>
      </c>
      <c r="F239" s="15" t="s">
        <v>22</v>
      </c>
    </row>
    <row r="240" spans="1:14" x14ac:dyDescent="0.2">
      <c r="A240" s="1">
        <f t="shared" si="3"/>
        <v>20</v>
      </c>
      <c r="B240" s="12" t="s">
        <v>1040</v>
      </c>
      <c r="C240" s="13" t="s">
        <v>972</v>
      </c>
      <c r="D240" s="13" t="s">
        <v>327</v>
      </c>
      <c r="E240" s="14" t="s">
        <v>973</v>
      </c>
      <c r="F240" s="15" t="s">
        <v>22</v>
      </c>
    </row>
    <row r="241" spans="1:6" x14ac:dyDescent="0.2">
      <c r="A241" s="1">
        <f t="shared" si="3"/>
        <v>20</v>
      </c>
      <c r="B241" s="8" t="s">
        <v>21</v>
      </c>
      <c r="C241" s="36" t="s">
        <v>1041</v>
      </c>
      <c r="D241" s="9" t="s">
        <v>339</v>
      </c>
      <c r="E241" s="39" t="s">
        <v>1042</v>
      </c>
      <c r="F241" s="11" t="s">
        <v>22</v>
      </c>
    </row>
    <row r="242" spans="1:6" x14ac:dyDescent="0.2">
      <c r="A242" s="1">
        <f t="shared" si="3"/>
        <v>0</v>
      </c>
      <c r="B242" s="8" t="s">
        <v>26</v>
      </c>
      <c r="C242" s="36" t="s">
        <v>315</v>
      </c>
      <c r="D242" s="9"/>
      <c r="E242" s="39"/>
      <c r="F242" s="11"/>
    </row>
    <row r="243" spans="1:6" x14ac:dyDescent="0.2">
      <c r="A243" s="1">
        <f t="shared" si="3"/>
        <v>20</v>
      </c>
      <c r="B243" s="8" t="s">
        <v>39</v>
      </c>
      <c r="C243" s="36" t="s">
        <v>1043</v>
      </c>
      <c r="D243" s="9" t="s">
        <v>327</v>
      </c>
      <c r="E243" s="39" t="s">
        <v>1044</v>
      </c>
      <c r="F243" s="11" t="s">
        <v>22</v>
      </c>
    </row>
    <row r="244" spans="1:6" x14ac:dyDescent="0.2">
      <c r="A244" s="1">
        <f t="shared" si="3"/>
        <v>20</v>
      </c>
      <c r="B244" s="8" t="s">
        <v>47</v>
      </c>
      <c r="C244" s="36" t="s">
        <v>1045</v>
      </c>
      <c r="D244" s="9" t="s">
        <v>339</v>
      </c>
      <c r="E244" s="39" t="s">
        <v>1046</v>
      </c>
      <c r="F244" s="11" t="s">
        <v>22</v>
      </c>
    </row>
    <row r="245" spans="1:6" x14ac:dyDescent="0.2">
      <c r="A245" s="1">
        <f t="shared" si="3"/>
        <v>20</v>
      </c>
      <c r="B245" s="8" t="s">
        <v>50</v>
      </c>
      <c r="C245" s="36" t="s">
        <v>770</v>
      </c>
      <c r="D245" s="9" t="s">
        <v>339</v>
      </c>
      <c r="E245" s="39" t="s">
        <v>771</v>
      </c>
      <c r="F245" s="11" t="s">
        <v>22</v>
      </c>
    </row>
    <row r="246" spans="1:6" x14ac:dyDescent="0.2">
      <c r="A246" s="1">
        <f t="shared" si="3"/>
        <v>0</v>
      </c>
      <c r="B246" s="8" t="s">
        <v>74</v>
      </c>
      <c r="C246" s="36" t="s">
        <v>313</v>
      </c>
      <c r="D246" s="9"/>
      <c r="E246" s="39"/>
      <c r="F246" s="11"/>
    </row>
    <row r="247" spans="1:6" x14ac:dyDescent="0.2">
      <c r="A247" s="1">
        <f t="shared" si="3"/>
        <v>20</v>
      </c>
      <c r="B247" s="8" t="s">
        <v>87</v>
      </c>
      <c r="C247" s="36" t="s">
        <v>276</v>
      </c>
      <c r="D247" s="9" t="s">
        <v>327</v>
      </c>
      <c r="E247" s="39" t="s">
        <v>275</v>
      </c>
      <c r="F247" s="11" t="s">
        <v>22</v>
      </c>
    </row>
    <row r="248" spans="1:6" x14ac:dyDescent="0.2">
      <c r="A248" s="1">
        <f t="shared" si="3"/>
        <v>20</v>
      </c>
      <c r="B248" s="8" t="s">
        <v>279</v>
      </c>
      <c r="C248" s="36" t="s">
        <v>281</v>
      </c>
      <c r="D248" s="9" t="s">
        <v>339</v>
      </c>
      <c r="E248" s="39" t="s">
        <v>280</v>
      </c>
      <c r="F248" s="11" t="s">
        <v>22</v>
      </c>
    </row>
    <row r="249" spans="1:6" x14ac:dyDescent="0.2">
      <c r="A249" s="1">
        <f t="shared" si="3"/>
        <v>20</v>
      </c>
      <c r="B249" s="8" t="s">
        <v>100</v>
      </c>
      <c r="C249" s="36" t="s">
        <v>285</v>
      </c>
      <c r="D249" s="9" t="s">
        <v>339</v>
      </c>
      <c r="E249" s="39" t="s">
        <v>284</v>
      </c>
      <c r="F249" s="11" t="s">
        <v>22</v>
      </c>
    </row>
    <row r="250" spans="1:6" x14ac:dyDescent="0.2">
      <c r="A250" s="1">
        <f t="shared" si="3"/>
        <v>20</v>
      </c>
      <c r="B250" s="8" t="s">
        <v>125</v>
      </c>
      <c r="C250" s="36" t="s">
        <v>300</v>
      </c>
      <c r="D250" s="9" t="s">
        <v>339</v>
      </c>
      <c r="E250" s="39" t="s">
        <v>299</v>
      </c>
      <c r="F250" s="11" t="s">
        <v>22</v>
      </c>
    </row>
    <row r="251" spans="1:6" x14ac:dyDescent="0.2">
      <c r="A251" s="1">
        <f t="shared" si="3"/>
        <v>0</v>
      </c>
      <c r="B251" s="8" t="s">
        <v>140</v>
      </c>
      <c r="C251" s="36" t="s">
        <v>317</v>
      </c>
      <c r="D251" s="9"/>
      <c r="E251" s="39"/>
      <c r="F251" s="11"/>
    </row>
    <row r="252" spans="1:6" x14ac:dyDescent="0.2">
      <c r="A252" s="1">
        <f t="shared" si="3"/>
        <v>20</v>
      </c>
      <c r="B252" s="8" t="s">
        <v>180</v>
      </c>
      <c r="C252" s="36" t="s">
        <v>1047</v>
      </c>
      <c r="D252" s="9" t="s">
        <v>339</v>
      </c>
      <c r="E252" s="39" t="s">
        <v>1048</v>
      </c>
      <c r="F252" s="11" t="s">
        <v>22</v>
      </c>
    </row>
    <row r="253" spans="1:6" x14ac:dyDescent="0.2">
      <c r="A253" s="1">
        <f t="shared" si="3"/>
        <v>20</v>
      </c>
      <c r="B253" s="8" t="s">
        <v>193</v>
      </c>
      <c r="C253" s="36" t="s">
        <v>1049</v>
      </c>
      <c r="D253" s="9" t="s">
        <v>339</v>
      </c>
      <c r="E253" s="39" t="s">
        <v>1050</v>
      </c>
      <c r="F253" s="11" t="s">
        <v>22</v>
      </c>
    </row>
    <row r="254" spans="1:6" x14ac:dyDescent="0.2">
      <c r="A254" s="1">
        <f t="shared" si="3"/>
        <v>20</v>
      </c>
      <c r="B254" s="8" t="s">
        <v>207</v>
      </c>
      <c r="C254" s="36" t="s">
        <v>1051</v>
      </c>
      <c r="D254" s="9" t="s">
        <v>327</v>
      </c>
      <c r="E254" s="39" t="s">
        <v>1052</v>
      </c>
      <c r="F254" s="11" t="s">
        <v>22</v>
      </c>
    </row>
    <row r="255" spans="1:6" x14ac:dyDescent="0.2">
      <c r="A255" s="1">
        <f t="shared" si="3"/>
        <v>20</v>
      </c>
      <c r="B255" s="8" t="s">
        <v>216</v>
      </c>
      <c r="C255" s="36" t="s">
        <v>1053</v>
      </c>
      <c r="D255" s="9" t="s">
        <v>327</v>
      </c>
      <c r="E255" s="39" t="s">
        <v>1054</v>
      </c>
      <c r="F255" s="11" t="s">
        <v>22</v>
      </c>
    </row>
    <row r="256" spans="1:6" x14ac:dyDescent="0.2">
      <c r="A256" s="1">
        <f t="shared" si="3"/>
        <v>20</v>
      </c>
      <c r="B256" s="8" t="s">
        <v>219</v>
      </c>
      <c r="C256" s="36" t="s">
        <v>1055</v>
      </c>
      <c r="D256" s="9" t="s">
        <v>339</v>
      </c>
      <c r="E256" s="39" t="s">
        <v>1056</v>
      </c>
      <c r="F256" s="11" t="s">
        <v>22</v>
      </c>
    </row>
    <row r="257" spans="1:6" x14ac:dyDescent="0.2">
      <c r="A257" s="1">
        <f t="shared" si="3"/>
        <v>20</v>
      </c>
      <c r="B257" s="8" t="s">
        <v>222</v>
      </c>
      <c r="C257" s="9" t="s">
        <v>1057</v>
      </c>
      <c r="D257" s="9" t="s">
        <v>327</v>
      </c>
      <c r="E257" s="10" t="s">
        <v>1058</v>
      </c>
      <c r="F257" s="11" t="s">
        <v>22</v>
      </c>
    </row>
    <row r="258" spans="1:6" x14ac:dyDescent="0.2">
      <c r="A258" s="1">
        <f t="shared" si="3"/>
        <v>20</v>
      </c>
      <c r="B258" s="8" t="s">
        <v>224</v>
      </c>
      <c r="C258" s="9" t="s">
        <v>1059</v>
      </c>
      <c r="D258" s="9" t="s">
        <v>327</v>
      </c>
      <c r="E258" s="10" t="s">
        <v>1060</v>
      </c>
      <c r="F258" s="11" t="s">
        <v>22</v>
      </c>
    </row>
    <row r="259" spans="1:6" x14ac:dyDescent="0.2">
      <c r="A259" s="1">
        <f t="shared" si="3"/>
        <v>0</v>
      </c>
      <c r="B259" s="8" t="s">
        <v>227</v>
      </c>
      <c r="C259" s="9" t="s">
        <v>1061</v>
      </c>
      <c r="D259" s="9"/>
      <c r="E259" s="10"/>
      <c r="F259" s="11"/>
    </row>
    <row r="260" spans="1:6" x14ac:dyDescent="0.2">
      <c r="A260" s="1">
        <f t="shared" si="3"/>
        <v>0</v>
      </c>
      <c r="B260" s="8" t="s">
        <v>231</v>
      </c>
      <c r="C260" s="9" t="s">
        <v>1062</v>
      </c>
      <c r="D260" s="9"/>
      <c r="E260" s="10"/>
      <c r="F260" s="11"/>
    </row>
    <row r="261" spans="1:6" x14ac:dyDescent="0.2">
      <c r="A261" s="1">
        <f t="shared" si="3"/>
        <v>0</v>
      </c>
      <c r="B261" s="8"/>
      <c r="C261" s="9"/>
      <c r="D261" s="9"/>
      <c r="E261" s="10"/>
      <c r="F261" s="11"/>
    </row>
    <row r="262" spans="1:6" x14ac:dyDescent="0.2">
      <c r="A262" s="1">
        <f t="shared" ref="A262:A264" si="5">+LEN(E262)</f>
        <v>0</v>
      </c>
      <c r="B262" s="8"/>
      <c r="C262" s="9"/>
      <c r="D262" s="9"/>
      <c r="E262" s="10"/>
      <c r="F262" s="11"/>
    </row>
    <row r="263" spans="1:6" x14ac:dyDescent="0.2">
      <c r="A263" s="1">
        <f t="shared" si="5"/>
        <v>0</v>
      </c>
      <c r="B263" s="8"/>
      <c r="C263" s="9"/>
      <c r="D263" s="9"/>
      <c r="E263" s="10"/>
      <c r="F263" s="11"/>
    </row>
    <row r="264" spans="1:6" x14ac:dyDescent="0.2">
      <c r="A264" s="1">
        <f t="shared" si="5"/>
        <v>0</v>
      </c>
      <c r="B264" s="8"/>
      <c r="C264" s="9"/>
      <c r="D264" s="9"/>
      <c r="E264" s="10"/>
      <c r="F264" s="11"/>
    </row>
    <row r="265" spans="1:6" x14ac:dyDescent="0.2">
      <c r="B265" s="8"/>
      <c r="C265" s="9"/>
      <c r="D265" s="9"/>
      <c r="E265" s="10"/>
      <c r="F265" s="11"/>
    </row>
    <row r="266" spans="1:6" x14ac:dyDescent="0.2">
      <c r="B266" s="8"/>
      <c r="C266" s="9"/>
      <c r="D266" s="9"/>
      <c r="E266" s="10"/>
      <c r="F266" s="11"/>
    </row>
    <row r="267" spans="1:6" x14ac:dyDescent="0.2">
      <c r="B267" s="8"/>
      <c r="C267" s="9"/>
      <c r="D267" s="9"/>
      <c r="E267" s="10"/>
      <c r="F267" s="11"/>
    </row>
    <row r="298" spans="1:6" x14ac:dyDescent="0.2">
      <c r="B298" s="2" t="s">
        <v>1063</v>
      </c>
    </row>
    <row r="299" spans="1:6" ht="15" x14ac:dyDescent="0.25">
      <c r="B299" s="5" t="s">
        <v>322</v>
      </c>
      <c r="C299" s="6" t="s">
        <v>323</v>
      </c>
      <c r="D299" s="7" t="s">
        <v>324</v>
      </c>
      <c r="E299" s="7" t="s">
        <v>325</v>
      </c>
      <c r="F299" s="5" t="s">
        <v>9</v>
      </c>
    </row>
    <row r="300" spans="1:6" x14ac:dyDescent="0.2">
      <c r="A300" s="1">
        <f t="shared" ref="A300:A317" si="6">+LEN(E300)</f>
        <v>20</v>
      </c>
      <c r="B300" s="50" t="s">
        <v>140</v>
      </c>
      <c r="C300" s="46" t="s">
        <v>317</v>
      </c>
      <c r="D300" s="46" t="s">
        <v>339</v>
      </c>
      <c r="E300" s="47" t="s">
        <v>316</v>
      </c>
      <c r="F300" s="52" t="s">
        <v>27</v>
      </c>
    </row>
    <row r="301" spans="1:6" ht="15" x14ac:dyDescent="0.25">
      <c r="A301" s="1">
        <f t="shared" si="6"/>
        <v>20</v>
      </c>
      <c r="B301" s="8" t="s">
        <v>1064</v>
      </c>
      <c r="C301" s="43" t="s">
        <v>1065</v>
      </c>
      <c r="D301" s="43" t="s">
        <v>327</v>
      </c>
      <c r="E301" s="44" t="s">
        <v>1066</v>
      </c>
      <c r="F301" s="45" t="s">
        <v>27</v>
      </c>
    </row>
    <row r="302" spans="1:6" ht="15" x14ac:dyDescent="0.25">
      <c r="A302" s="1">
        <f t="shared" si="6"/>
        <v>20</v>
      </c>
      <c r="B302" s="50" t="s">
        <v>1067</v>
      </c>
      <c r="C302" s="48" t="s">
        <v>1068</v>
      </c>
      <c r="D302" s="48" t="s">
        <v>339</v>
      </c>
      <c r="E302" s="49" t="s">
        <v>1069</v>
      </c>
      <c r="F302" s="53" t="s">
        <v>27</v>
      </c>
    </row>
    <row r="303" spans="1:6" ht="15" x14ac:dyDescent="0.25">
      <c r="A303" s="1">
        <f t="shared" si="6"/>
        <v>20</v>
      </c>
      <c r="B303" s="8" t="s">
        <v>1070</v>
      </c>
      <c r="C303" s="43" t="s">
        <v>1071</v>
      </c>
      <c r="D303" s="43" t="s">
        <v>327</v>
      </c>
      <c r="E303" s="44" t="s">
        <v>1072</v>
      </c>
      <c r="F303" s="45" t="s">
        <v>27</v>
      </c>
    </row>
    <row r="304" spans="1:6" ht="15" x14ac:dyDescent="0.25">
      <c r="A304" s="1">
        <f t="shared" si="6"/>
        <v>20</v>
      </c>
      <c r="B304" s="51" t="s">
        <v>347</v>
      </c>
      <c r="C304" s="48" t="s">
        <v>348</v>
      </c>
      <c r="D304" s="48" t="s">
        <v>327</v>
      </c>
      <c r="E304" s="49" t="s">
        <v>1073</v>
      </c>
      <c r="F304" s="53" t="s">
        <v>27</v>
      </c>
    </row>
    <row r="305" spans="1:6" ht="15" x14ac:dyDescent="0.25">
      <c r="A305" s="1">
        <f t="shared" si="6"/>
        <v>20</v>
      </c>
      <c r="B305" s="51" t="s">
        <v>227</v>
      </c>
      <c r="C305" s="48" t="s">
        <v>1061</v>
      </c>
      <c r="D305" s="48" t="s">
        <v>339</v>
      </c>
      <c r="E305" s="49" t="s">
        <v>1074</v>
      </c>
      <c r="F305" s="53" t="s">
        <v>27</v>
      </c>
    </row>
    <row r="306" spans="1:6" ht="15" x14ac:dyDescent="0.25">
      <c r="A306" s="1">
        <f t="shared" si="6"/>
        <v>20</v>
      </c>
      <c r="B306" s="51" t="s">
        <v>231</v>
      </c>
      <c r="C306" s="48" t="s">
        <v>1062</v>
      </c>
      <c r="D306" s="48" t="s">
        <v>339</v>
      </c>
      <c r="E306" s="49" t="s">
        <v>1075</v>
      </c>
      <c r="F306" s="53" t="s">
        <v>27</v>
      </c>
    </row>
    <row r="307" spans="1:6" ht="15" x14ac:dyDescent="0.25">
      <c r="A307" s="1">
        <f t="shared" si="6"/>
        <v>20</v>
      </c>
      <c r="B307" s="51" t="s">
        <v>1076</v>
      </c>
      <c r="C307" s="48" t="s">
        <v>1077</v>
      </c>
      <c r="D307" s="48" t="s">
        <v>339</v>
      </c>
      <c r="E307" s="49" t="s">
        <v>1078</v>
      </c>
      <c r="F307" s="53" t="s">
        <v>27</v>
      </c>
    </row>
    <row r="308" spans="1:6" ht="15" x14ac:dyDescent="0.25">
      <c r="A308" s="1">
        <f t="shared" si="6"/>
        <v>20</v>
      </c>
      <c r="B308" s="51" t="s">
        <v>1079</v>
      </c>
      <c r="C308" s="48" t="s">
        <v>1080</v>
      </c>
      <c r="D308" s="48" t="s">
        <v>339</v>
      </c>
      <c r="E308" s="49" t="s">
        <v>1081</v>
      </c>
      <c r="F308" s="53" t="s">
        <v>27</v>
      </c>
    </row>
    <row r="309" spans="1:6" ht="15" x14ac:dyDescent="0.25">
      <c r="A309" s="1">
        <f t="shared" si="6"/>
        <v>20</v>
      </c>
      <c r="B309" s="51" t="s">
        <v>74</v>
      </c>
      <c r="C309" s="48" t="s">
        <v>313</v>
      </c>
      <c r="D309" s="48" t="s">
        <v>327</v>
      </c>
      <c r="E309" s="49" t="s">
        <v>312</v>
      </c>
      <c r="F309" s="53" t="s">
        <v>27</v>
      </c>
    </row>
    <row r="310" spans="1:6" ht="15" x14ac:dyDescent="0.25">
      <c r="A310" s="1">
        <f t="shared" si="6"/>
        <v>20</v>
      </c>
      <c r="B310" s="51" t="s">
        <v>1082</v>
      </c>
      <c r="C310" s="48" t="s">
        <v>1083</v>
      </c>
      <c r="D310" s="48" t="s">
        <v>339</v>
      </c>
      <c r="E310" s="49" t="s">
        <v>1084</v>
      </c>
      <c r="F310" s="53" t="s">
        <v>27</v>
      </c>
    </row>
    <row r="311" spans="1:6" ht="15" x14ac:dyDescent="0.25">
      <c r="A311" s="1">
        <f t="shared" si="6"/>
        <v>20</v>
      </c>
      <c r="B311" s="51" t="s">
        <v>156</v>
      </c>
      <c r="C311" s="48" t="s">
        <v>291</v>
      </c>
      <c r="D311" s="48" t="s">
        <v>327</v>
      </c>
      <c r="E311" s="49" t="s">
        <v>318</v>
      </c>
      <c r="F311" s="53" t="s">
        <v>27</v>
      </c>
    </row>
    <row r="312" spans="1:6" ht="15" x14ac:dyDescent="0.25">
      <c r="A312" s="1">
        <f t="shared" si="6"/>
        <v>20</v>
      </c>
      <c r="B312" s="51" t="s">
        <v>161</v>
      </c>
      <c r="C312" s="48" t="s">
        <v>320</v>
      </c>
      <c r="D312" s="48" t="s">
        <v>327</v>
      </c>
      <c r="E312" s="49" t="s">
        <v>319</v>
      </c>
      <c r="F312" s="53" t="s">
        <v>27</v>
      </c>
    </row>
    <row r="313" spans="1:6" ht="15" x14ac:dyDescent="0.25">
      <c r="A313" s="1">
        <f t="shared" si="6"/>
        <v>20</v>
      </c>
      <c r="B313" s="51" t="s">
        <v>148</v>
      </c>
      <c r="C313" s="48" t="s">
        <v>308</v>
      </c>
      <c r="D313" s="48" t="s">
        <v>339</v>
      </c>
      <c r="E313" s="49" t="s">
        <v>1085</v>
      </c>
      <c r="F313" s="53" t="s">
        <v>27</v>
      </c>
    </row>
    <row r="314" spans="1:6" ht="15" x14ac:dyDescent="0.25">
      <c r="A314" s="1">
        <f t="shared" si="6"/>
        <v>20</v>
      </c>
      <c r="B314" s="51" t="s">
        <v>30</v>
      </c>
      <c r="C314" s="48" t="s">
        <v>983</v>
      </c>
      <c r="D314" s="48" t="s">
        <v>339</v>
      </c>
      <c r="E314" s="49" t="s">
        <v>1086</v>
      </c>
      <c r="F314" s="53" t="s">
        <v>27</v>
      </c>
    </row>
    <row r="315" spans="1:6" ht="15" x14ac:dyDescent="0.25">
      <c r="A315" s="1">
        <f t="shared" si="6"/>
        <v>20</v>
      </c>
      <c r="B315" s="51" t="s">
        <v>225</v>
      </c>
      <c r="C315" s="48" t="s">
        <v>566</v>
      </c>
      <c r="D315" s="48" t="s">
        <v>339</v>
      </c>
      <c r="E315" s="49" t="s">
        <v>1087</v>
      </c>
      <c r="F315" s="53" t="s">
        <v>27</v>
      </c>
    </row>
    <row r="316" spans="1:6" ht="15" x14ac:dyDescent="0.25">
      <c r="A316" s="1">
        <f t="shared" si="6"/>
        <v>20</v>
      </c>
      <c r="B316" s="51" t="s">
        <v>26</v>
      </c>
      <c r="C316" s="48" t="s">
        <v>315</v>
      </c>
      <c r="D316" s="48" t="s">
        <v>339</v>
      </c>
      <c r="E316" s="49" t="s">
        <v>314</v>
      </c>
      <c r="F316" s="53" t="s">
        <v>27</v>
      </c>
    </row>
    <row r="317" spans="1:6" ht="15" x14ac:dyDescent="0.25">
      <c r="A317" s="1">
        <f t="shared" si="6"/>
        <v>20</v>
      </c>
      <c r="B317" s="83" t="s">
        <v>30</v>
      </c>
      <c r="C317" s="84" t="s">
        <v>983</v>
      </c>
      <c r="D317" s="84" t="s">
        <v>339</v>
      </c>
      <c r="E317" s="85" t="s">
        <v>1086</v>
      </c>
      <c r="F317" s="86" t="s">
        <v>27</v>
      </c>
    </row>
  </sheetData>
  <sortState xmlns:xlrd2="http://schemas.microsoft.com/office/spreadsheetml/2017/richdata2" ref="R19:R22">
    <sortCondition ref="R19:R22"/>
  </sortState>
  <pageMargins left="0.7" right="0.7" top="0.75" bottom="0.75" header="0.3" footer="0.3"/>
  <pageSetup orientation="portrait" horizontalDpi="1200" verticalDpi="1200" r:id="rId5"/>
  <tableParts count="4"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CA1B-7B5D-4C68-BF76-F4A9ED64455B}">
  <sheetPr codeName="Hoja6"/>
  <dimension ref="B3:H369"/>
  <sheetViews>
    <sheetView workbookViewId="0">
      <selection activeCell="B6" sqref="B6"/>
    </sheetView>
  </sheetViews>
  <sheetFormatPr baseColWidth="10" defaultColWidth="11.28515625" defaultRowHeight="15" x14ac:dyDescent="0.25"/>
  <cols>
    <col min="2" max="2" width="52.140625" bestFit="1" customWidth="1"/>
    <col min="3" max="3" width="18.42578125" customWidth="1"/>
    <col min="4" max="4" width="4.7109375" customWidth="1"/>
    <col min="5" max="5" width="34.85546875" bestFit="1" customWidth="1"/>
    <col min="6" max="6" width="50" bestFit="1" customWidth="1"/>
    <col min="9" max="9" width="14.7109375" bestFit="1" customWidth="1"/>
  </cols>
  <sheetData>
    <row r="3" spans="2:8" x14ac:dyDescent="0.25">
      <c r="B3" t="s">
        <v>1117</v>
      </c>
    </row>
    <row r="5" spans="2:8" x14ac:dyDescent="0.25">
      <c r="B5" t="s">
        <v>1118</v>
      </c>
      <c r="C5" t="s">
        <v>1112</v>
      </c>
      <c r="D5" t="s">
        <v>1111</v>
      </c>
      <c r="E5" t="s">
        <v>1119</v>
      </c>
      <c r="F5" t="s">
        <v>1212</v>
      </c>
    </row>
    <row r="6" spans="2:8" x14ac:dyDescent="0.25">
      <c r="B6" t="s">
        <v>1120</v>
      </c>
      <c r="C6" t="s">
        <v>1097</v>
      </c>
      <c r="D6" s="89">
        <v>0.12</v>
      </c>
      <c r="E6" t="s">
        <v>1121</v>
      </c>
      <c r="F6" t="s">
        <v>1211</v>
      </c>
      <c r="H6" s="90"/>
    </row>
    <row r="7" spans="2:8" x14ac:dyDescent="0.25">
      <c r="B7" t="s">
        <v>1122</v>
      </c>
      <c r="C7" t="s">
        <v>1097</v>
      </c>
      <c r="D7" s="89">
        <v>0.12</v>
      </c>
      <c r="E7" t="s">
        <v>1121</v>
      </c>
      <c r="F7" t="s">
        <v>1211</v>
      </c>
      <c r="H7" s="90"/>
    </row>
    <row r="8" spans="2:8" x14ac:dyDescent="0.25">
      <c r="B8" t="s">
        <v>1110</v>
      </c>
      <c r="C8" t="s">
        <v>1097</v>
      </c>
      <c r="D8" s="89">
        <v>0.12</v>
      </c>
      <c r="E8" t="s">
        <v>1121</v>
      </c>
      <c r="F8" t="s">
        <v>1211</v>
      </c>
      <c r="H8" s="90"/>
    </row>
    <row r="9" spans="2:8" x14ac:dyDescent="0.25">
      <c r="B9" t="s">
        <v>1109</v>
      </c>
      <c r="C9" t="s">
        <v>1097</v>
      </c>
      <c r="D9" s="89">
        <v>0.12</v>
      </c>
      <c r="E9" t="s">
        <v>1123</v>
      </c>
      <c r="F9" t="s">
        <v>1211</v>
      </c>
      <c r="H9" s="90"/>
    </row>
    <row r="10" spans="2:8" x14ac:dyDescent="0.25">
      <c r="B10" t="s">
        <v>1108</v>
      </c>
      <c r="C10" t="s">
        <v>1097</v>
      </c>
      <c r="D10" s="89">
        <v>0.12</v>
      </c>
      <c r="E10" t="s">
        <v>1123</v>
      </c>
      <c r="F10" t="s">
        <v>1211</v>
      </c>
      <c r="H10" s="90"/>
    </row>
    <row r="11" spans="2:8" x14ac:dyDescent="0.25">
      <c r="B11" t="s">
        <v>1124</v>
      </c>
      <c r="C11" t="s">
        <v>1097</v>
      </c>
      <c r="D11" s="89">
        <v>0.12</v>
      </c>
      <c r="E11" t="s">
        <v>1123</v>
      </c>
      <c r="F11" t="s">
        <v>1211</v>
      </c>
      <c r="H11" s="90"/>
    </row>
    <row r="12" spans="2:8" x14ac:dyDescent="0.25">
      <c r="B12" t="s">
        <v>1107</v>
      </c>
      <c r="C12" t="s">
        <v>1097</v>
      </c>
      <c r="D12" s="89">
        <v>0.12</v>
      </c>
      <c r="E12" t="s">
        <v>1123</v>
      </c>
      <c r="F12" t="s">
        <v>1211</v>
      </c>
      <c r="H12" s="90"/>
    </row>
    <row r="13" spans="2:8" x14ac:dyDescent="0.25">
      <c r="B13" t="s">
        <v>1106</v>
      </c>
      <c r="C13" t="s">
        <v>1097</v>
      </c>
      <c r="D13" s="89">
        <v>0.12</v>
      </c>
      <c r="E13" t="s">
        <v>1123</v>
      </c>
      <c r="F13" t="s">
        <v>1211</v>
      </c>
      <c r="H13" s="90"/>
    </row>
    <row r="14" spans="2:8" x14ac:dyDescent="0.25">
      <c r="B14" t="s">
        <v>1125</v>
      </c>
      <c r="C14" t="s">
        <v>1097</v>
      </c>
      <c r="D14" s="89">
        <v>0.12</v>
      </c>
      <c r="E14" t="s">
        <v>1123</v>
      </c>
      <c r="F14" t="s">
        <v>1211</v>
      </c>
      <c r="H14" s="90"/>
    </row>
    <row r="15" spans="2:8" x14ac:dyDescent="0.25">
      <c r="B15" t="s">
        <v>1126</v>
      </c>
      <c r="C15" t="s">
        <v>1097</v>
      </c>
      <c r="D15" s="89">
        <v>0.12</v>
      </c>
      <c r="E15" t="s">
        <v>1123</v>
      </c>
      <c r="F15" t="s">
        <v>1211</v>
      </c>
      <c r="H15" s="90"/>
    </row>
    <row r="16" spans="2:8" x14ac:dyDescent="0.25">
      <c r="B16" t="s">
        <v>1127</v>
      </c>
      <c r="C16" t="s">
        <v>1097</v>
      </c>
      <c r="D16" s="89">
        <v>0.12</v>
      </c>
      <c r="E16" t="s">
        <v>1123</v>
      </c>
      <c r="F16" t="s">
        <v>1211</v>
      </c>
      <c r="H16" s="90"/>
    </row>
    <row r="17" spans="2:8" x14ac:dyDescent="0.25">
      <c r="B17" t="s">
        <v>1128</v>
      </c>
      <c r="C17" t="s">
        <v>1097</v>
      </c>
      <c r="D17" s="89">
        <v>0.12</v>
      </c>
      <c r="E17" t="s">
        <v>1123</v>
      </c>
      <c r="F17" t="s">
        <v>1211</v>
      </c>
      <c r="H17" s="90"/>
    </row>
    <row r="18" spans="2:8" x14ac:dyDescent="0.25">
      <c r="B18" t="s">
        <v>1129</v>
      </c>
      <c r="C18" t="s">
        <v>1097</v>
      </c>
      <c r="D18" s="89">
        <v>0.12</v>
      </c>
      <c r="E18" t="s">
        <v>1123</v>
      </c>
      <c r="F18" t="s">
        <v>1211</v>
      </c>
      <c r="H18" s="90"/>
    </row>
    <row r="19" spans="2:8" x14ac:dyDescent="0.25">
      <c r="B19" t="s">
        <v>1130</v>
      </c>
      <c r="C19" t="s">
        <v>1097</v>
      </c>
      <c r="D19" s="89">
        <v>0.12</v>
      </c>
      <c r="E19" t="s">
        <v>1123</v>
      </c>
      <c r="F19" t="s">
        <v>1211</v>
      </c>
      <c r="H19" s="90"/>
    </row>
    <row r="20" spans="2:8" x14ac:dyDescent="0.25">
      <c r="B20" t="s">
        <v>1105</v>
      </c>
      <c r="C20" t="s">
        <v>1097</v>
      </c>
      <c r="D20" s="89">
        <v>0.12</v>
      </c>
      <c r="E20" t="s">
        <v>1131</v>
      </c>
      <c r="F20" t="s">
        <v>1211</v>
      </c>
      <c r="H20" s="90"/>
    </row>
    <row r="21" spans="2:8" x14ac:dyDescent="0.25">
      <c r="B21" t="s">
        <v>1132</v>
      </c>
      <c r="C21" t="s">
        <v>1097</v>
      </c>
      <c r="D21" s="89">
        <v>0.12</v>
      </c>
      <c r="E21" t="s">
        <v>1131</v>
      </c>
      <c r="F21" t="s">
        <v>1211</v>
      </c>
      <c r="H21" s="90"/>
    </row>
    <row r="22" spans="2:8" x14ac:dyDescent="0.25">
      <c r="B22" t="s">
        <v>1133</v>
      </c>
      <c r="C22" t="s">
        <v>1097</v>
      </c>
      <c r="D22" s="89">
        <v>0.12</v>
      </c>
      <c r="E22" t="s">
        <v>1131</v>
      </c>
      <c r="F22" t="s">
        <v>1211</v>
      </c>
      <c r="H22" s="90"/>
    </row>
    <row r="23" spans="2:8" x14ac:dyDescent="0.25">
      <c r="B23" t="s">
        <v>1134</v>
      </c>
      <c r="C23" t="s">
        <v>1097</v>
      </c>
      <c r="D23" s="89">
        <v>0.12</v>
      </c>
      <c r="E23" t="s">
        <v>1131</v>
      </c>
      <c r="F23" t="s">
        <v>1211</v>
      </c>
      <c r="H23" s="90"/>
    </row>
    <row r="24" spans="2:8" x14ac:dyDescent="0.25">
      <c r="B24" t="s">
        <v>1104</v>
      </c>
      <c r="C24" t="s">
        <v>1097</v>
      </c>
      <c r="D24" s="89">
        <v>0.12</v>
      </c>
      <c r="E24" t="s">
        <v>1131</v>
      </c>
      <c r="F24" t="s">
        <v>1211</v>
      </c>
      <c r="H24" s="90"/>
    </row>
    <row r="25" spans="2:8" x14ac:dyDescent="0.25">
      <c r="B25" t="s">
        <v>1135</v>
      </c>
      <c r="C25" t="s">
        <v>1097</v>
      </c>
      <c r="D25" s="89">
        <v>0.12</v>
      </c>
      <c r="E25" t="s">
        <v>1113</v>
      </c>
      <c r="F25" t="s">
        <v>1211</v>
      </c>
      <c r="H25" s="90"/>
    </row>
    <row r="26" spans="2:8" x14ac:dyDescent="0.25">
      <c r="B26" t="s">
        <v>1136</v>
      </c>
      <c r="C26" t="s">
        <v>1097</v>
      </c>
      <c r="D26" s="89">
        <v>0.1</v>
      </c>
      <c r="E26" t="s">
        <v>1115</v>
      </c>
      <c r="F26" t="s">
        <v>1211</v>
      </c>
      <c r="H26" s="90"/>
    </row>
    <row r="27" spans="2:8" x14ac:dyDescent="0.25">
      <c r="B27" t="s">
        <v>1137</v>
      </c>
      <c r="C27" t="s">
        <v>1097</v>
      </c>
      <c r="D27" s="89">
        <v>0.1</v>
      </c>
      <c r="E27" t="s">
        <v>1115</v>
      </c>
      <c r="F27" t="s">
        <v>1211</v>
      </c>
      <c r="H27" s="90"/>
    </row>
    <row r="28" spans="2:8" x14ac:dyDescent="0.25">
      <c r="B28" t="s">
        <v>1103</v>
      </c>
      <c r="C28" t="s">
        <v>1097</v>
      </c>
      <c r="D28" s="89">
        <v>0.1</v>
      </c>
      <c r="E28" t="s">
        <v>1115</v>
      </c>
      <c r="F28" t="s">
        <v>1211</v>
      </c>
      <c r="H28" s="90"/>
    </row>
    <row r="29" spans="2:8" x14ac:dyDescent="0.25">
      <c r="B29" t="s">
        <v>1102</v>
      </c>
      <c r="C29" t="s">
        <v>1097</v>
      </c>
      <c r="D29" s="89">
        <v>0.1</v>
      </c>
      <c r="E29" t="s">
        <v>1115</v>
      </c>
      <c r="F29" t="s">
        <v>1211</v>
      </c>
      <c r="H29" s="90"/>
    </row>
    <row r="30" spans="2:8" x14ac:dyDescent="0.25">
      <c r="B30" t="s">
        <v>1114</v>
      </c>
      <c r="C30" t="s">
        <v>1097</v>
      </c>
      <c r="D30" s="89">
        <v>0.1</v>
      </c>
      <c r="E30" t="s">
        <v>1115</v>
      </c>
      <c r="F30" t="s">
        <v>1211</v>
      </c>
      <c r="H30" s="90"/>
    </row>
    <row r="31" spans="2:8" x14ac:dyDescent="0.25">
      <c r="B31" t="s">
        <v>1284</v>
      </c>
      <c r="C31" t="s">
        <v>1097</v>
      </c>
      <c r="D31" s="89">
        <v>0.1</v>
      </c>
      <c r="E31" t="s">
        <v>1115</v>
      </c>
      <c r="F31" t="s">
        <v>1211</v>
      </c>
      <c r="H31" s="90"/>
    </row>
    <row r="32" spans="2:8" x14ac:dyDescent="0.25">
      <c r="B32" t="s">
        <v>1101</v>
      </c>
      <c r="C32" t="s">
        <v>1097</v>
      </c>
      <c r="D32" s="89">
        <v>0.1</v>
      </c>
      <c r="E32" t="s">
        <v>1138</v>
      </c>
      <c r="F32" t="s">
        <v>1211</v>
      </c>
      <c r="H32" s="90"/>
    </row>
    <row r="33" spans="2:8" x14ac:dyDescent="0.25">
      <c r="B33" t="s">
        <v>1139</v>
      </c>
      <c r="C33" t="s">
        <v>1097</v>
      </c>
      <c r="D33" s="89">
        <v>0.1</v>
      </c>
      <c r="E33" t="s">
        <v>1138</v>
      </c>
      <c r="F33" t="s">
        <v>1211</v>
      </c>
      <c r="H33" s="90"/>
    </row>
    <row r="34" spans="2:8" x14ac:dyDescent="0.25">
      <c r="B34" t="s">
        <v>1100</v>
      </c>
      <c r="C34" t="s">
        <v>1097</v>
      </c>
      <c r="D34" s="89">
        <v>0.1</v>
      </c>
      <c r="E34" t="s">
        <v>1138</v>
      </c>
      <c r="F34" t="s">
        <v>1211</v>
      </c>
      <c r="H34" s="90"/>
    </row>
    <row r="35" spans="2:8" x14ac:dyDescent="0.25">
      <c r="B35" t="s">
        <v>1140</v>
      </c>
      <c r="C35" t="s">
        <v>1097</v>
      </c>
      <c r="D35" s="89">
        <v>0.04</v>
      </c>
      <c r="E35" t="s">
        <v>1099</v>
      </c>
      <c r="F35" t="s">
        <v>1211</v>
      </c>
      <c r="H35" s="90"/>
    </row>
    <row r="36" spans="2:8" x14ac:dyDescent="0.25">
      <c r="B36" t="s">
        <v>1141</v>
      </c>
      <c r="C36" t="s">
        <v>1097</v>
      </c>
      <c r="D36" s="89">
        <v>0.04</v>
      </c>
      <c r="E36" t="s">
        <v>1142</v>
      </c>
      <c r="F36" t="s">
        <v>1211</v>
      </c>
      <c r="H36" s="90"/>
    </row>
    <row r="37" spans="2:8" x14ac:dyDescent="0.25">
      <c r="B37" t="s">
        <v>1143</v>
      </c>
      <c r="C37" t="s">
        <v>1097</v>
      </c>
      <c r="D37" s="89">
        <v>0.04</v>
      </c>
      <c r="E37" t="s">
        <v>1142</v>
      </c>
      <c r="F37" t="s">
        <v>1211</v>
      </c>
      <c r="H37" s="90"/>
    </row>
    <row r="38" spans="2:8" x14ac:dyDescent="0.25">
      <c r="B38" t="s">
        <v>1144</v>
      </c>
      <c r="C38" t="s">
        <v>1097</v>
      </c>
      <c r="D38" s="89">
        <v>0.04</v>
      </c>
      <c r="E38" t="s">
        <v>1145</v>
      </c>
      <c r="F38" t="s">
        <v>1211</v>
      </c>
      <c r="H38" s="90"/>
    </row>
    <row r="39" spans="2:8" x14ac:dyDescent="0.25">
      <c r="B39" t="s">
        <v>1146</v>
      </c>
      <c r="C39" t="s">
        <v>1097</v>
      </c>
      <c r="D39" s="89">
        <v>0.1</v>
      </c>
      <c r="E39" t="s">
        <v>1147</v>
      </c>
      <c r="F39" t="s">
        <v>1211</v>
      </c>
      <c r="H39" s="90"/>
    </row>
    <row r="40" spans="2:8" x14ac:dyDescent="0.25">
      <c r="B40" t="s">
        <v>1148</v>
      </c>
      <c r="C40" t="s">
        <v>1097</v>
      </c>
      <c r="D40" s="89">
        <v>0.1</v>
      </c>
      <c r="E40" t="s">
        <v>1149</v>
      </c>
      <c r="F40" t="s">
        <v>1211</v>
      </c>
      <c r="H40" s="90"/>
    </row>
    <row r="41" spans="2:8" x14ac:dyDescent="0.25">
      <c r="B41" t="s">
        <v>1150</v>
      </c>
      <c r="C41" t="s">
        <v>1097</v>
      </c>
      <c r="D41" s="89">
        <v>0.12</v>
      </c>
      <c r="E41" t="s">
        <v>1151</v>
      </c>
      <c r="F41" t="s">
        <v>1211</v>
      </c>
      <c r="H41" s="90"/>
    </row>
    <row r="42" spans="2:8" x14ac:dyDescent="0.25">
      <c r="B42" t="s">
        <v>1285</v>
      </c>
      <c r="C42" t="s">
        <v>1097</v>
      </c>
      <c r="D42" s="89">
        <v>0.12</v>
      </c>
      <c r="E42" t="s">
        <v>1151</v>
      </c>
      <c r="F42" t="s">
        <v>1211</v>
      </c>
      <c r="H42" s="90"/>
    </row>
    <row r="43" spans="2:8" x14ac:dyDescent="0.25">
      <c r="B43" t="s">
        <v>1153</v>
      </c>
      <c r="C43" t="s">
        <v>1154</v>
      </c>
      <c r="D43" s="89">
        <v>0</v>
      </c>
      <c r="E43" t="s">
        <v>1155</v>
      </c>
      <c r="F43" t="s">
        <v>1152</v>
      </c>
      <c r="H43" s="90"/>
    </row>
    <row r="44" spans="2:8" x14ac:dyDescent="0.25">
      <c r="B44" t="s">
        <v>1156</v>
      </c>
      <c r="C44" t="s">
        <v>1154</v>
      </c>
      <c r="D44" s="89">
        <v>0</v>
      </c>
      <c r="E44" t="s">
        <v>1155</v>
      </c>
      <c r="F44" t="s">
        <v>1152</v>
      </c>
      <c r="H44" s="90"/>
    </row>
    <row r="45" spans="2:8" x14ac:dyDescent="0.25">
      <c r="B45" t="s">
        <v>1157</v>
      </c>
      <c r="C45" t="s">
        <v>1154</v>
      </c>
      <c r="D45" s="89">
        <v>0</v>
      </c>
      <c r="E45" t="s">
        <v>1155</v>
      </c>
      <c r="F45" t="s">
        <v>1152</v>
      </c>
      <c r="H45" s="90"/>
    </row>
    <row r="46" spans="2:8" x14ac:dyDescent="0.25">
      <c r="B46" t="s">
        <v>1158</v>
      </c>
      <c r="C46" t="s">
        <v>1154</v>
      </c>
      <c r="D46" s="89">
        <v>0</v>
      </c>
      <c r="E46" t="s">
        <v>1155</v>
      </c>
      <c r="F46" t="s">
        <v>1152</v>
      </c>
      <c r="H46" s="90"/>
    </row>
    <row r="47" spans="2:8" x14ac:dyDescent="0.25">
      <c r="B47" t="s">
        <v>1159</v>
      </c>
      <c r="C47" t="s">
        <v>1154</v>
      </c>
      <c r="D47" s="89">
        <v>0</v>
      </c>
      <c r="E47" t="s">
        <v>1155</v>
      </c>
      <c r="F47" t="s">
        <v>1152</v>
      </c>
      <c r="H47" s="90"/>
    </row>
    <row r="48" spans="2:8" x14ac:dyDescent="0.25">
      <c r="B48" t="s">
        <v>1160</v>
      </c>
      <c r="C48" t="s">
        <v>1154</v>
      </c>
      <c r="D48" s="89">
        <v>0</v>
      </c>
      <c r="E48" t="s">
        <v>1155</v>
      </c>
      <c r="F48" t="s">
        <v>1152</v>
      </c>
      <c r="H48" s="90"/>
    </row>
    <row r="49" spans="2:8" x14ac:dyDescent="0.25">
      <c r="B49" t="s">
        <v>1161</v>
      </c>
      <c r="C49" t="s">
        <v>1154</v>
      </c>
      <c r="D49" s="89">
        <v>0</v>
      </c>
      <c r="E49" t="s">
        <v>1155</v>
      </c>
      <c r="F49" t="s">
        <v>1152</v>
      </c>
      <c r="H49" s="90"/>
    </row>
    <row r="50" spans="2:8" x14ac:dyDescent="0.25">
      <c r="B50" t="s">
        <v>1162</v>
      </c>
      <c r="C50" t="s">
        <v>1154</v>
      </c>
      <c r="D50" s="89">
        <v>0</v>
      </c>
      <c r="E50" t="s">
        <v>1155</v>
      </c>
      <c r="F50" t="s">
        <v>1152</v>
      </c>
      <c r="H50" s="90"/>
    </row>
    <row r="51" spans="2:8" x14ac:dyDescent="0.25">
      <c r="B51" t="s">
        <v>1163</v>
      </c>
      <c r="C51" t="s">
        <v>1154</v>
      </c>
      <c r="D51" s="89">
        <v>0</v>
      </c>
      <c r="E51" t="s">
        <v>1155</v>
      </c>
      <c r="F51" t="s">
        <v>1152</v>
      </c>
      <c r="H51" s="90"/>
    </row>
    <row r="52" spans="2:8" x14ac:dyDescent="0.25">
      <c r="B52" t="s">
        <v>1164</v>
      </c>
      <c r="C52" t="s">
        <v>1154</v>
      </c>
      <c r="D52" s="89">
        <v>0</v>
      </c>
      <c r="E52" t="s">
        <v>1155</v>
      </c>
      <c r="F52" t="s">
        <v>1152</v>
      </c>
      <c r="H52" s="90"/>
    </row>
    <row r="53" spans="2:8" x14ac:dyDescent="0.25">
      <c r="B53" t="s">
        <v>1165</v>
      </c>
      <c r="C53" t="s">
        <v>1154</v>
      </c>
      <c r="D53" s="89">
        <v>0</v>
      </c>
      <c r="E53" t="s">
        <v>1155</v>
      </c>
      <c r="F53" t="s">
        <v>1152</v>
      </c>
      <c r="H53" s="90"/>
    </row>
    <row r="54" spans="2:8" x14ac:dyDescent="0.25">
      <c r="B54" t="s">
        <v>1166</v>
      </c>
      <c r="C54" t="s">
        <v>1154</v>
      </c>
      <c r="D54" s="89">
        <v>0</v>
      </c>
      <c r="E54" t="s">
        <v>1155</v>
      </c>
      <c r="F54" t="s">
        <v>1152</v>
      </c>
      <c r="H54" s="90"/>
    </row>
    <row r="55" spans="2:8" x14ac:dyDescent="0.25">
      <c r="B55" t="s">
        <v>1167</v>
      </c>
      <c r="C55" t="s">
        <v>1154</v>
      </c>
      <c r="D55" s="89">
        <v>0</v>
      </c>
      <c r="E55" t="s">
        <v>1155</v>
      </c>
      <c r="F55" t="s">
        <v>1152</v>
      </c>
      <c r="H55" s="90"/>
    </row>
    <row r="56" spans="2:8" x14ac:dyDescent="0.25">
      <c r="B56" t="s">
        <v>1168</v>
      </c>
      <c r="C56" t="s">
        <v>1154</v>
      </c>
      <c r="D56" s="89">
        <v>0</v>
      </c>
      <c r="E56" t="s">
        <v>1155</v>
      </c>
      <c r="F56" t="s">
        <v>1152</v>
      </c>
      <c r="H56" s="90"/>
    </row>
    <row r="57" spans="2:8" x14ac:dyDescent="0.25">
      <c r="B57" t="s">
        <v>1169</v>
      </c>
      <c r="C57" t="s">
        <v>1154</v>
      </c>
      <c r="D57" s="89">
        <v>0</v>
      </c>
      <c r="E57" t="s">
        <v>1155</v>
      </c>
      <c r="F57" t="s">
        <v>1152</v>
      </c>
      <c r="H57" s="90"/>
    </row>
    <row r="58" spans="2:8" x14ac:dyDescent="0.25">
      <c r="B58" t="s">
        <v>1170</v>
      </c>
      <c r="C58" t="s">
        <v>1154</v>
      </c>
      <c r="D58" s="89">
        <v>0</v>
      </c>
      <c r="E58" t="s">
        <v>1155</v>
      </c>
      <c r="F58" t="s">
        <v>1152</v>
      </c>
      <c r="H58" s="90"/>
    </row>
    <row r="59" spans="2:8" x14ac:dyDescent="0.25">
      <c r="B59" t="s">
        <v>1283</v>
      </c>
      <c r="C59" t="s">
        <v>1154</v>
      </c>
      <c r="D59" s="89">
        <v>0</v>
      </c>
      <c r="E59" t="s">
        <v>1155</v>
      </c>
      <c r="F59" t="s">
        <v>1152</v>
      </c>
      <c r="H59" s="90"/>
    </row>
    <row r="60" spans="2:8" x14ac:dyDescent="0.25">
      <c r="B60" t="s">
        <v>1171</v>
      </c>
      <c r="C60" t="s">
        <v>1154</v>
      </c>
      <c r="D60" s="89">
        <v>0</v>
      </c>
      <c r="E60" t="s">
        <v>1172</v>
      </c>
      <c r="F60" t="s">
        <v>1152</v>
      </c>
      <c r="H60" s="90"/>
    </row>
    <row r="61" spans="2:8" x14ac:dyDescent="0.25">
      <c r="B61" t="s">
        <v>1096</v>
      </c>
      <c r="C61" t="s">
        <v>1154</v>
      </c>
      <c r="D61" s="89">
        <v>0</v>
      </c>
      <c r="E61" t="s">
        <v>1173</v>
      </c>
      <c r="F61" t="s">
        <v>1152</v>
      </c>
      <c r="H61" s="90"/>
    </row>
    <row r="62" spans="2:8" x14ac:dyDescent="0.25">
      <c r="B62" t="s">
        <v>1174</v>
      </c>
      <c r="C62" t="s">
        <v>1154</v>
      </c>
      <c r="D62" s="89">
        <v>0</v>
      </c>
      <c r="E62" t="s">
        <v>1173</v>
      </c>
      <c r="F62" t="s">
        <v>1152</v>
      </c>
      <c r="H62" s="90"/>
    </row>
    <row r="63" spans="2:8" x14ac:dyDescent="0.25">
      <c r="B63" t="s">
        <v>1175</v>
      </c>
      <c r="C63" t="s">
        <v>1154</v>
      </c>
      <c r="D63" s="89">
        <v>0</v>
      </c>
      <c r="E63" t="s">
        <v>1173</v>
      </c>
      <c r="F63" t="s">
        <v>1152</v>
      </c>
      <c r="H63" s="90"/>
    </row>
    <row r="64" spans="2:8" x14ac:dyDescent="0.25">
      <c r="B64" t="s">
        <v>1176</v>
      </c>
      <c r="C64" t="s">
        <v>1154</v>
      </c>
      <c r="D64" s="89">
        <v>0</v>
      </c>
      <c r="E64" t="s">
        <v>1177</v>
      </c>
      <c r="F64" t="s">
        <v>1152</v>
      </c>
      <c r="H64" s="90"/>
    </row>
    <row r="65" spans="2:8" x14ac:dyDescent="0.25">
      <c r="H65" s="90"/>
    </row>
    <row r="66" spans="2:8" x14ac:dyDescent="0.25">
      <c r="H66" s="90"/>
    </row>
    <row r="67" spans="2:8" x14ac:dyDescent="0.25">
      <c r="B67" t="s">
        <v>1178</v>
      </c>
      <c r="H67" s="90"/>
    </row>
    <row r="68" spans="2:8" x14ac:dyDescent="0.25">
      <c r="H68" s="90"/>
    </row>
    <row r="69" spans="2:8" x14ac:dyDescent="0.25">
      <c r="B69" t="s">
        <v>1179</v>
      </c>
      <c r="H69" s="90"/>
    </row>
    <row r="70" spans="2:8" x14ac:dyDescent="0.25">
      <c r="H70" s="90"/>
    </row>
    <row r="71" spans="2:8" x14ac:dyDescent="0.25">
      <c r="B71" t="s">
        <v>1180</v>
      </c>
      <c r="H71" s="90"/>
    </row>
    <row r="72" spans="2:8" x14ac:dyDescent="0.25">
      <c r="B72" t="s">
        <v>1181</v>
      </c>
      <c r="H72" s="90"/>
    </row>
    <row r="73" spans="2:8" x14ac:dyDescent="0.25">
      <c r="B73" t="s">
        <v>1182</v>
      </c>
      <c r="H73" s="90"/>
    </row>
    <row r="74" spans="2:8" x14ac:dyDescent="0.25">
      <c r="B74" t="s">
        <v>1183</v>
      </c>
      <c r="H74" s="90"/>
    </row>
    <row r="75" spans="2:8" x14ac:dyDescent="0.25">
      <c r="B75" t="s">
        <v>1184</v>
      </c>
      <c r="H75" s="90"/>
    </row>
    <row r="76" spans="2:8" x14ac:dyDescent="0.25">
      <c r="B76" t="s">
        <v>1125</v>
      </c>
      <c r="H76" s="90"/>
    </row>
    <row r="77" spans="2:8" x14ac:dyDescent="0.25">
      <c r="B77" t="s">
        <v>1185</v>
      </c>
      <c r="H77" s="90"/>
    </row>
    <row r="78" spans="2:8" x14ac:dyDescent="0.25">
      <c r="B78" t="s">
        <v>1186</v>
      </c>
      <c r="H78" s="90"/>
    </row>
    <row r="79" spans="2:8" x14ac:dyDescent="0.25">
      <c r="B79" t="s">
        <v>430</v>
      </c>
      <c r="H79" s="90"/>
    </row>
    <row r="80" spans="2:8" x14ac:dyDescent="0.25">
      <c r="B80" t="s">
        <v>1187</v>
      </c>
      <c r="H80" s="90"/>
    </row>
    <row r="81" spans="2:8" x14ac:dyDescent="0.25">
      <c r="B81" t="s">
        <v>1188</v>
      </c>
      <c r="H81" s="90"/>
    </row>
    <row r="82" spans="2:8" x14ac:dyDescent="0.25">
      <c r="B82" t="s">
        <v>1151</v>
      </c>
      <c r="H82" s="90"/>
    </row>
    <row r="83" spans="2:8" x14ac:dyDescent="0.25">
      <c r="H83" s="90"/>
    </row>
    <row r="84" spans="2:8" x14ac:dyDescent="0.25">
      <c r="B84" t="s">
        <v>1189</v>
      </c>
      <c r="H84" s="90"/>
    </row>
    <row r="85" spans="2:8" x14ac:dyDescent="0.25">
      <c r="H85" s="90"/>
    </row>
    <row r="86" spans="2:8" x14ac:dyDescent="0.25">
      <c r="B86" t="s">
        <v>1190</v>
      </c>
      <c r="H86" s="90"/>
    </row>
    <row r="87" spans="2:8" x14ac:dyDescent="0.25">
      <c r="B87" t="s">
        <v>1191</v>
      </c>
      <c r="H87" s="90"/>
    </row>
    <row r="88" spans="2:8" x14ac:dyDescent="0.25">
      <c r="B88" t="s">
        <v>1138</v>
      </c>
      <c r="H88" s="90"/>
    </row>
    <row r="89" spans="2:8" x14ac:dyDescent="0.25">
      <c r="B89" t="s">
        <v>1192</v>
      </c>
      <c r="H89" s="90"/>
    </row>
    <row r="90" spans="2:8" x14ac:dyDescent="0.25">
      <c r="B90" t="s">
        <v>1116</v>
      </c>
      <c r="H90" s="90"/>
    </row>
    <row r="91" spans="2:8" x14ac:dyDescent="0.25">
      <c r="H91" s="90"/>
    </row>
    <row r="92" spans="2:8" x14ac:dyDescent="0.25">
      <c r="B92" t="s">
        <v>1193</v>
      </c>
      <c r="H92" s="90"/>
    </row>
    <row r="93" spans="2:8" x14ac:dyDescent="0.25">
      <c r="H93" s="90"/>
    </row>
    <row r="94" spans="2:8" x14ac:dyDescent="0.25">
      <c r="B94" t="s">
        <v>1194</v>
      </c>
      <c r="H94" s="90"/>
    </row>
    <row r="95" spans="2:8" x14ac:dyDescent="0.25">
      <c r="B95" t="s">
        <v>1098</v>
      </c>
      <c r="H95" s="90"/>
    </row>
    <row r="96" spans="2:8" x14ac:dyDescent="0.25">
      <c r="B96" t="s">
        <v>1099</v>
      </c>
      <c r="H96" s="90"/>
    </row>
    <row r="97" spans="2:8" x14ac:dyDescent="0.25">
      <c r="H97" s="90"/>
    </row>
    <row r="98" spans="2:8" x14ac:dyDescent="0.25">
      <c r="B98" t="s">
        <v>1195</v>
      </c>
      <c r="H98" s="90"/>
    </row>
    <row r="99" spans="2:8" x14ac:dyDescent="0.25">
      <c r="H99" s="90"/>
    </row>
    <row r="100" spans="2:8" x14ac:dyDescent="0.25">
      <c r="B100" t="s">
        <v>1196</v>
      </c>
      <c r="H100" s="90"/>
    </row>
    <row r="101" spans="2:8" x14ac:dyDescent="0.25">
      <c r="B101" t="s">
        <v>1165</v>
      </c>
      <c r="H101" s="90"/>
    </row>
    <row r="102" spans="2:8" x14ac:dyDescent="0.25">
      <c r="B102" t="s">
        <v>1197</v>
      </c>
      <c r="H102" s="90"/>
    </row>
    <row r="103" spans="2:8" x14ac:dyDescent="0.25">
      <c r="B103" t="s">
        <v>1153</v>
      </c>
      <c r="H103" s="90"/>
    </row>
    <row r="104" spans="2:8" x14ac:dyDescent="0.25">
      <c r="B104" t="s">
        <v>1198</v>
      </c>
      <c r="H104" s="90"/>
    </row>
    <row r="105" spans="2:8" x14ac:dyDescent="0.25">
      <c r="B105" t="s">
        <v>1167</v>
      </c>
      <c r="H105" s="90"/>
    </row>
    <row r="106" spans="2:8" x14ac:dyDescent="0.25">
      <c r="B106" t="s">
        <v>1168</v>
      </c>
      <c r="H106" s="90"/>
    </row>
    <row r="107" spans="2:8" x14ac:dyDescent="0.25">
      <c r="B107" t="s">
        <v>1095</v>
      </c>
      <c r="H107" s="90"/>
    </row>
    <row r="108" spans="2:8" x14ac:dyDescent="0.25">
      <c r="B108" t="s">
        <v>1096</v>
      </c>
      <c r="H108" s="90"/>
    </row>
    <row r="109" spans="2:8" x14ac:dyDescent="0.25">
      <c r="H109" s="90"/>
    </row>
    <row r="110" spans="2:8" x14ac:dyDescent="0.25">
      <c r="H110" s="90"/>
    </row>
    <row r="111" spans="2:8" x14ac:dyDescent="0.25">
      <c r="H111" s="90"/>
    </row>
    <row r="112" spans="2:8" x14ac:dyDescent="0.25">
      <c r="B112" t="s">
        <v>1199</v>
      </c>
      <c r="H112" s="90"/>
    </row>
    <row r="113" spans="2:8" x14ac:dyDescent="0.25">
      <c r="H113" s="90"/>
    </row>
    <row r="114" spans="2:8" x14ac:dyDescent="0.25">
      <c r="B114" t="s">
        <v>1200</v>
      </c>
      <c r="C114" t="s">
        <v>1201</v>
      </c>
      <c r="H114" s="90"/>
    </row>
    <row r="115" spans="2:8" x14ac:dyDescent="0.25">
      <c r="B115" t="s">
        <v>1202</v>
      </c>
      <c r="C115" s="89">
        <v>0.12</v>
      </c>
      <c r="H115" s="90"/>
    </row>
    <row r="116" spans="2:8" x14ac:dyDescent="0.25">
      <c r="B116" t="s">
        <v>1203</v>
      </c>
      <c r="C116" s="89">
        <v>0.12</v>
      </c>
      <c r="H116" s="90"/>
    </row>
    <row r="117" spans="2:8" x14ac:dyDescent="0.25">
      <c r="B117" t="s">
        <v>1204</v>
      </c>
      <c r="C117" s="89">
        <v>0.1</v>
      </c>
      <c r="H117" s="90"/>
    </row>
    <row r="118" spans="2:8" x14ac:dyDescent="0.25">
      <c r="B118" t="s">
        <v>1205</v>
      </c>
      <c r="C118" s="89">
        <v>0.1</v>
      </c>
      <c r="H118" s="90"/>
    </row>
    <row r="119" spans="2:8" x14ac:dyDescent="0.25">
      <c r="B119" t="s">
        <v>1206</v>
      </c>
      <c r="C119" s="89">
        <v>0.1</v>
      </c>
      <c r="H119" s="90"/>
    </row>
    <row r="120" spans="2:8" x14ac:dyDescent="0.25">
      <c r="B120" t="s">
        <v>1207</v>
      </c>
      <c r="C120" s="89">
        <v>0.1</v>
      </c>
      <c r="H120" s="90"/>
    </row>
    <row r="121" spans="2:8" x14ac:dyDescent="0.25">
      <c r="B121" t="s">
        <v>1208</v>
      </c>
      <c r="C121" s="89">
        <v>0.04</v>
      </c>
      <c r="H121" s="90"/>
    </row>
    <row r="122" spans="2:8" x14ac:dyDescent="0.25">
      <c r="B122" t="s">
        <v>1209</v>
      </c>
      <c r="C122" s="89">
        <v>0.04</v>
      </c>
      <c r="H122" s="90"/>
    </row>
    <row r="123" spans="2:8" x14ac:dyDescent="0.25">
      <c r="B123" t="s">
        <v>1210</v>
      </c>
      <c r="C123" s="89">
        <v>0</v>
      </c>
      <c r="H123" s="90"/>
    </row>
    <row r="124" spans="2:8" x14ac:dyDescent="0.25">
      <c r="H124" s="90"/>
    </row>
    <row r="125" spans="2:8" x14ac:dyDescent="0.25">
      <c r="H125" s="90"/>
    </row>
    <row r="126" spans="2:8" x14ac:dyDescent="0.25">
      <c r="H126" s="90"/>
    </row>
    <row r="127" spans="2:8" x14ac:dyDescent="0.25">
      <c r="H127" s="90"/>
    </row>
    <row r="128" spans="2:8" x14ac:dyDescent="0.25">
      <c r="H128" s="90"/>
    </row>
    <row r="129" spans="8:8" x14ac:dyDescent="0.25">
      <c r="H129" s="90"/>
    </row>
    <row r="130" spans="8:8" x14ac:dyDescent="0.25">
      <c r="H130" s="90"/>
    </row>
    <row r="131" spans="8:8" x14ac:dyDescent="0.25">
      <c r="H131" s="90"/>
    </row>
    <row r="132" spans="8:8" x14ac:dyDescent="0.25">
      <c r="H132" s="90"/>
    </row>
    <row r="133" spans="8:8" x14ac:dyDescent="0.25">
      <c r="H133" s="90"/>
    </row>
    <row r="134" spans="8:8" x14ac:dyDescent="0.25">
      <c r="H134" s="90"/>
    </row>
    <row r="135" spans="8:8" x14ac:dyDescent="0.25">
      <c r="H135" s="90"/>
    </row>
    <row r="136" spans="8:8" x14ac:dyDescent="0.25">
      <c r="H136" s="90"/>
    </row>
    <row r="137" spans="8:8" x14ac:dyDescent="0.25">
      <c r="H137" s="90"/>
    </row>
    <row r="138" spans="8:8" x14ac:dyDescent="0.25">
      <c r="H138" s="90"/>
    </row>
    <row r="139" spans="8:8" x14ac:dyDescent="0.25">
      <c r="H139" s="90"/>
    </row>
    <row r="140" spans="8:8" x14ac:dyDescent="0.25">
      <c r="H140" s="90"/>
    </row>
    <row r="141" spans="8:8" x14ac:dyDescent="0.25">
      <c r="H141" s="90"/>
    </row>
    <row r="142" spans="8:8" x14ac:dyDescent="0.25">
      <c r="H142" s="90"/>
    </row>
    <row r="143" spans="8:8" x14ac:dyDescent="0.25">
      <c r="H143" s="90"/>
    </row>
    <row r="144" spans="8:8" x14ac:dyDescent="0.25">
      <c r="H144" s="90"/>
    </row>
    <row r="145" spans="8:8" x14ac:dyDescent="0.25">
      <c r="H145" s="90"/>
    </row>
    <row r="146" spans="8:8" x14ac:dyDescent="0.25">
      <c r="H146" s="90"/>
    </row>
    <row r="147" spans="8:8" x14ac:dyDescent="0.25">
      <c r="H147" s="90"/>
    </row>
    <row r="148" spans="8:8" x14ac:dyDescent="0.25">
      <c r="H148" s="90"/>
    </row>
    <row r="149" spans="8:8" x14ac:dyDescent="0.25">
      <c r="H149" s="90"/>
    </row>
    <row r="150" spans="8:8" x14ac:dyDescent="0.25">
      <c r="H150" s="90"/>
    </row>
    <row r="151" spans="8:8" x14ac:dyDescent="0.25">
      <c r="H151" s="90"/>
    </row>
    <row r="152" spans="8:8" x14ac:dyDescent="0.25">
      <c r="H152" s="90"/>
    </row>
    <row r="153" spans="8:8" x14ac:dyDescent="0.25">
      <c r="H153" s="90"/>
    </row>
    <row r="154" spans="8:8" x14ac:dyDescent="0.25">
      <c r="H154" s="90"/>
    </row>
    <row r="155" spans="8:8" x14ac:dyDescent="0.25">
      <c r="H155" s="90"/>
    </row>
    <row r="156" spans="8:8" x14ac:dyDescent="0.25">
      <c r="H156" s="90"/>
    </row>
    <row r="157" spans="8:8" x14ac:dyDescent="0.25">
      <c r="H157" s="90"/>
    </row>
    <row r="158" spans="8:8" x14ac:dyDescent="0.25">
      <c r="H158" s="90"/>
    </row>
    <row r="159" spans="8:8" x14ac:dyDescent="0.25">
      <c r="H159" s="90"/>
    </row>
    <row r="160" spans="8:8" x14ac:dyDescent="0.25">
      <c r="H160" s="90"/>
    </row>
    <row r="161" spans="8:8" x14ac:dyDescent="0.25">
      <c r="H161" s="90"/>
    </row>
    <row r="162" spans="8:8" x14ac:dyDescent="0.25">
      <c r="H162" s="90"/>
    </row>
    <row r="163" spans="8:8" x14ac:dyDescent="0.25">
      <c r="H163" s="90"/>
    </row>
    <row r="164" spans="8:8" x14ac:dyDescent="0.25">
      <c r="H164" s="90"/>
    </row>
    <row r="165" spans="8:8" x14ac:dyDescent="0.25">
      <c r="H165" s="90"/>
    </row>
    <row r="166" spans="8:8" x14ac:dyDescent="0.25">
      <c r="H166" s="90"/>
    </row>
    <row r="167" spans="8:8" x14ac:dyDescent="0.25">
      <c r="H167" s="90"/>
    </row>
    <row r="168" spans="8:8" x14ac:dyDescent="0.25">
      <c r="H168" s="90"/>
    </row>
    <row r="169" spans="8:8" x14ac:dyDescent="0.25">
      <c r="H169" s="90"/>
    </row>
    <row r="170" spans="8:8" x14ac:dyDescent="0.25">
      <c r="H170" s="90"/>
    </row>
    <row r="171" spans="8:8" x14ac:dyDescent="0.25">
      <c r="H171" s="90"/>
    </row>
    <row r="172" spans="8:8" x14ac:dyDescent="0.25">
      <c r="H172" s="90"/>
    </row>
    <row r="173" spans="8:8" x14ac:dyDescent="0.25">
      <c r="H173" s="90"/>
    </row>
    <row r="174" spans="8:8" x14ac:dyDescent="0.25">
      <c r="H174" s="90"/>
    </row>
    <row r="175" spans="8:8" x14ac:dyDescent="0.25">
      <c r="H175" s="90"/>
    </row>
    <row r="176" spans="8:8" x14ac:dyDescent="0.25">
      <c r="H176" s="90"/>
    </row>
    <row r="177" spans="8:8" x14ac:dyDescent="0.25">
      <c r="H177" s="90"/>
    </row>
    <row r="178" spans="8:8" x14ac:dyDescent="0.25">
      <c r="H178" s="90"/>
    </row>
    <row r="179" spans="8:8" x14ac:dyDescent="0.25">
      <c r="H179" s="90"/>
    </row>
    <row r="180" spans="8:8" x14ac:dyDescent="0.25">
      <c r="H180" s="90"/>
    </row>
    <row r="181" spans="8:8" x14ac:dyDescent="0.25">
      <c r="H181" s="90"/>
    </row>
    <row r="182" spans="8:8" x14ac:dyDescent="0.25">
      <c r="H182" s="90"/>
    </row>
    <row r="183" spans="8:8" x14ac:dyDescent="0.25">
      <c r="H183" s="90"/>
    </row>
    <row r="184" spans="8:8" x14ac:dyDescent="0.25">
      <c r="H184" s="90"/>
    </row>
    <row r="185" spans="8:8" x14ac:dyDescent="0.25">
      <c r="H185" s="90"/>
    </row>
    <row r="186" spans="8:8" x14ac:dyDescent="0.25">
      <c r="H186" s="90"/>
    </row>
    <row r="187" spans="8:8" x14ac:dyDescent="0.25">
      <c r="H187" s="90"/>
    </row>
    <row r="188" spans="8:8" x14ac:dyDescent="0.25">
      <c r="H188" s="90"/>
    </row>
    <row r="189" spans="8:8" x14ac:dyDescent="0.25">
      <c r="H189" s="90"/>
    </row>
    <row r="190" spans="8:8" x14ac:dyDescent="0.25">
      <c r="H190" s="90"/>
    </row>
    <row r="191" spans="8:8" x14ac:dyDescent="0.25">
      <c r="H191" s="90"/>
    </row>
    <row r="192" spans="8:8" x14ac:dyDescent="0.25">
      <c r="H192" s="90"/>
    </row>
    <row r="193" spans="8:8" x14ac:dyDescent="0.25">
      <c r="H193" s="90"/>
    </row>
    <row r="194" spans="8:8" x14ac:dyDescent="0.25">
      <c r="H194" s="90"/>
    </row>
    <row r="195" spans="8:8" x14ac:dyDescent="0.25">
      <c r="H195" s="90"/>
    </row>
    <row r="196" spans="8:8" x14ac:dyDescent="0.25">
      <c r="H196" s="90"/>
    </row>
    <row r="197" spans="8:8" x14ac:dyDescent="0.25">
      <c r="H197" s="90"/>
    </row>
    <row r="198" spans="8:8" x14ac:dyDescent="0.25">
      <c r="H198" s="90"/>
    </row>
    <row r="199" spans="8:8" x14ac:dyDescent="0.25">
      <c r="H199" s="90"/>
    </row>
    <row r="200" spans="8:8" x14ac:dyDescent="0.25">
      <c r="H200" s="90"/>
    </row>
    <row r="201" spans="8:8" x14ac:dyDescent="0.25">
      <c r="H201" s="90"/>
    </row>
    <row r="202" spans="8:8" x14ac:dyDescent="0.25">
      <c r="H202" s="90"/>
    </row>
    <row r="203" spans="8:8" x14ac:dyDescent="0.25">
      <c r="H203" s="90"/>
    </row>
    <row r="204" spans="8:8" x14ac:dyDescent="0.25">
      <c r="H204" s="90"/>
    </row>
    <row r="205" spans="8:8" x14ac:dyDescent="0.25">
      <c r="H205" s="90"/>
    </row>
    <row r="206" spans="8:8" x14ac:dyDescent="0.25">
      <c r="H206" s="90"/>
    </row>
    <row r="207" spans="8:8" x14ac:dyDescent="0.25">
      <c r="H207" s="90"/>
    </row>
    <row r="208" spans="8:8" x14ac:dyDescent="0.25">
      <c r="H208" s="90"/>
    </row>
    <row r="209" spans="8:8" x14ac:dyDescent="0.25">
      <c r="H209" s="90"/>
    </row>
    <row r="210" spans="8:8" x14ac:dyDescent="0.25">
      <c r="H210" s="90"/>
    </row>
    <row r="211" spans="8:8" x14ac:dyDescent="0.25">
      <c r="H211" s="90"/>
    </row>
    <row r="212" spans="8:8" x14ac:dyDescent="0.25">
      <c r="H212" s="90"/>
    </row>
    <row r="213" spans="8:8" x14ac:dyDescent="0.25">
      <c r="H213" s="90"/>
    </row>
    <row r="214" spans="8:8" x14ac:dyDescent="0.25">
      <c r="H214" s="90"/>
    </row>
    <row r="215" spans="8:8" x14ac:dyDescent="0.25">
      <c r="H215" s="90"/>
    </row>
    <row r="216" spans="8:8" x14ac:dyDescent="0.25">
      <c r="H216" s="90"/>
    </row>
    <row r="217" spans="8:8" x14ac:dyDescent="0.25">
      <c r="H217" s="90"/>
    </row>
    <row r="218" spans="8:8" x14ac:dyDescent="0.25">
      <c r="H218" s="90"/>
    </row>
    <row r="219" spans="8:8" x14ac:dyDescent="0.25">
      <c r="H219" s="90"/>
    </row>
    <row r="220" spans="8:8" x14ac:dyDescent="0.25">
      <c r="H220" s="90"/>
    </row>
    <row r="221" spans="8:8" x14ac:dyDescent="0.25">
      <c r="H221" s="90"/>
    </row>
    <row r="222" spans="8:8" x14ac:dyDescent="0.25">
      <c r="H222" s="90"/>
    </row>
    <row r="223" spans="8:8" x14ac:dyDescent="0.25">
      <c r="H223" s="90"/>
    </row>
    <row r="224" spans="8:8" x14ac:dyDescent="0.25">
      <c r="H224" s="90"/>
    </row>
    <row r="225" spans="8:8" x14ac:dyDescent="0.25">
      <c r="H225" s="90"/>
    </row>
    <row r="226" spans="8:8" x14ac:dyDescent="0.25">
      <c r="H226" s="90"/>
    </row>
    <row r="227" spans="8:8" x14ac:dyDescent="0.25">
      <c r="H227" s="90"/>
    </row>
    <row r="228" spans="8:8" x14ac:dyDescent="0.25">
      <c r="H228" s="90"/>
    </row>
    <row r="229" spans="8:8" x14ac:dyDescent="0.25">
      <c r="H229" s="90"/>
    </row>
    <row r="230" spans="8:8" x14ac:dyDescent="0.25">
      <c r="H230" s="90"/>
    </row>
    <row r="231" spans="8:8" x14ac:dyDescent="0.25">
      <c r="H231" s="90"/>
    </row>
    <row r="232" spans="8:8" x14ac:dyDescent="0.25">
      <c r="H232" s="90"/>
    </row>
    <row r="233" spans="8:8" x14ac:dyDescent="0.25">
      <c r="H233" s="90"/>
    </row>
    <row r="234" spans="8:8" x14ac:dyDescent="0.25">
      <c r="H234" s="90"/>
    </row>
    <row r="235" spans="8:8" x14ac:dyDescent="0.25">
      <c r="H235" s="90"/>
    </row>
    <row r="236" spans="8:8" x14ac:dyDescent="0.25">
      <c r="H236" s="90"/>
    </row>
    <row r="237" spans="8:8" x14ac:dyDescent="0.25">
      <c r="H237" s="90"/>
    </row>
    <row r="238" spans="8:8" x14ac:dyDescent="0.25">
      <c r="H238" s="90"/>
    </row>
    <row r="239" spans="8:8" x14ac:dyDescent="0.25">
      <c r="H239" s="90"/>
    </row>
    <row r="240" spans="8:8" x14ac:dyDescent="0.25">
      <c r="H240" s="90"/>
    </row>
    <row r="241" spans="8:8" x14ac:dyDescent="0.25">
      <c r="H241" s="90"/>
    </row>
    <row r="242" spans="8:8" x14ac:dyDescent="0.25">
      <c r="H242" s="90"/>
    </row>
    <row r="243" spans="8:8" x14ac:dyDescent="0.25">
      <c r="H243" s="90"/>
    </row>
    <row r="244" spans="8:8" x14ac:dyDescent="0.25">
      <c r="H244" s="90"/>
    </row>
    <row r="245" spans="8:8" x14ac:dyDescent="0.25">
      <c r="H245" s="90"/>
    </row>
    <row r="246" spans="8:8" x14ac:dyDescent="0.25">
      <c r="H246" s="90"/>
    </row>
    <row r="247" spans="8:8" x14ac:dyDescent="0.25">
      <c r="H247" s="90"/>
    </row>
    <row r="248" spans="8:8" x14ac:dyDescent="0.25">
      <c r="H248" s="90"/>
    </row>
    <row r="249" spans="8:8" x14ac:dyDescent="0.25">
      <c r="H249" s="90"/>
    </row>
    <row r="250" spans="8:8" x14ac:dyDescent="0.25">
      <c r="H250" s="90"/>
    </row>
    <row r="251" spans="8:8" x14ac:dyDescent="0.25">
      <c r="H251" s="90"/>
    </row>
    <row r="252" spans="8:8" x14ac:dyDescent="0.25">
      <c r="H252" s="90"/>
    </row>
    <row r="253" spans="8:8" x14ac:dyDescent="0.25">
      <c r="H253" s="90"/>
    </row>
    <row r="254" spans="8:8" x14ac:dyDescent="0.25">
      <c r="H254" s="90"/>
    </row>
    <row r="255" spans="8:8" x14ac:dyDescent="0.25">
      <c r="H255" s="90"/>
    </row>
    <row r="256" spans="8:8" x14ac:dyDescent="0.25">
      <c r="H256" s="90"/>
    </row>
    <row r="257" spans="8:8" x14ac:dyDescent="0.25">
      <c r="H257" s="90"/>
    </row>
    <row r="258" spans="8:8" x14ac:dyDescent="0.25">
      <c r="H258" s="90"/>
    </row>
    <row r="259" spans="8:8" x14ac:dyDescent="0.25">
      <c r="H259" s="90"/>
    </row>
    <row r="260" spans="8:8" x14ac:dyDescent="0.25">
      <c r="H260" s="90"/>
    </row>
    <row r="261" spans="8:8" x14ac:dyDescent="0.25">
      <c r="H261" s="90"/>
    </row>
    <row r="262" spans="8:8" x14ac:dyDescent="0.25">
      <c r="H262" s="90"/>
    </row>
    <row r="263" spans="8:8" x14ac:dyDescent="0.25">
      <c r="H263" s="90"/>
    </row>
    <row r="264" spans="8:8" x14ac:dyDescent="0.25">
      <c r="H264" s="90"/>
    </row>
    <row r="265" spans="8:8" x14ac:dyDescent="0.25">
      <c r="H265" s="90"/>
    </row>
    <row r="266" spans="8:8" x14ac:dyDescent="0.25">
      <c r="H266" s="90"/>
    </row>
    <row r="267" spans="8:8" x14ac:dyDescent="0.25">
      <c r="H267" s="90"/>
    </row>
    <row r="268" spans="8:8" x14ac:dyDescent="0.25">
      <c r="H268" s="90"/>
    </row>
    <row r="269" spans="8:8" x14ac:dyDescent="0.25">
      <c r="H269" s="90"/>
    </row>
    <row r="270" spans="8:8" x14ac:dyDescent="0.25">
      <c r="H270" s="90"/>
    </row>
    <row r="271" spans="8:8" x14ac:dyDescent="0.25">
      <c r="H271" s="90"/>
    </row>
    <row r="272" spans="8:8" x14ac:dyDescent="0.25">
      <c r="H272" s="90"/>
    </row>
    <row r="273" spans="8:8" x14ac:dyDescent="0.25">
      <c r="H273" s="90"/>
    </row>
    <row r="274" spans="8:8" x14ac:dyDescent="0.25">
      <c r="H274" s="90"/>
    </row>
    <row r="275" spans="8:8" x14ac:dyDescent="0.25">
      <c r="H275" s="90"/>
    </row>
    <row r="276" spans="8:8" x14ac:dyDescent="0.25">
      <c r="H276" s="90"/>
    </row>
    <row r="277" spans="8:8" x14ac:dyDescent="0.25">
      <c r="H277" s="90"/>
    </row>
    <row r="278" spans="8:8" x14ac:dyDescent="0.25">
      <c r="H278" s="90"/>
    </row>
    <row r="279" spans="8:8" x14ac:dyDescent="0.25">
      <c r="H279" s="90"/>
    </row>
    <row r="280" spans="8:8" x14ac:dyDescent="0.25">
      <c r="H280" s="90"/>
    </row>
    <row r="281" spans="8:8" x14ac:dyDescent="0.25">
      <c r="H281" s="90"/>
    </row>
    <row r="282" spans="8:8" x14ac:dyDescent="0.25">
      <c r="H282" s="90"/>
    </row>
    <row r="283" spans="8:8" x14ac:dyDescent="0.25">
      <c r="H283" s="90"/>
    </row>
    <row r="284" spans="8:8" x14ac:dyDescent="0.25">
      <c r="H284" s="90"/>
    </row>
    <row r="285" spans="8:8" x14ac:dyDescent="0.25">
      <c r="H285" s="90"/>
    </row>
    <row r="286" spans="8:8" x14ac:dyDescent="0.25">
      <c r="H286" s="90"/>
    </row>
    <row r="287" spans="8:8" x14ac:dyDescent="0.25">
      <c r="H287" s="90"/>
    </row>
    <row r="288" spans="8:8" x14ac:dyDescent="0.25">
      <c r="H288" s="90"/>
    </row>
    <row r="289" spans="8:8" x14ac:dyDescent="0.25">
      <c r="H289" s="90"/>
    </row>
    <row r="290" spans="8:8" x14ac:dyDescent="0.25">
      <c r="H290" s="90"/>
    </row>
    <row r="291" spans="8:8" x14ac:dyDescent="0.25">
      <c r="H291" s="90"/>
    </row>
    <row r="292" spans="8:8" x14ac:dyDescent="0.25">
      <c r="H292" s="90"/>
    </row>
    <row r="293" spans="8:8" x14ac:dyDescent="0.25">
      <c r="H293" s="90"/>
    </row>
    <row r="294" spans="8:8" x14ac:dyDescent="0.25">
      <c r="H294" s="90"/>
    </row>
    <row r="295" spans="8:8" x14ac:dyDescent="0.25">
      <c r="H295" s="90"/>
    </row>
    <row r="296" spans="8:8" x14ac:dyDescent="0.25">
      <c r="H296" s="90"/>
    </row>
    <row r="297" spans="8:8" x14ac:dyDescent="0.25">
      <c r="H297" s="90"/>
    </row>
    <row r="298" spans="8:8" x14ac:dyDescent="0.25">
      <c r="H298" s="90"/>
    </row>
    <row r="299" spans="8:8" x14ac:dyDescent="0.25">
      <c r="H299" s="90"/>
    </row>
    <row r="300" spans="8:8" x14ac:dyDescent="0.25">
      <c r="H300" s="90"/>
    </row>
    <row r="301" spans="8:8" x14ac:dyDescent="0.25">
      <c r="H301" s="90"/>
    </row>
    <row r="302" spans="8:8" x14ac:dyDescent="0.25">
      <c r="H302" s="90"/>
    </row>
    <row r="303" spans="8:8" x14ac:dyDescent="0.25">
      <c r="H303" s="90"/>
    </row>
    <row r="304" spans="8:8" x14ac:dyDescent="0.25">
      <c r="H304" s="90"/>
    </row>
    <row r="305" spans="8:8" x14ac:dyDescent="0.25">
      <c r="H305" s="90"/>
    </row>
    <row r="306" spans="8:8" x14ac:dyDescent="0.25">
      <c r="H306" s="90"/>
    </row>
    <row r="307" spans="8:8" x14ac:dyDescent="0.25">
      <c r="H307" s="90"/>
    </row>
    <row r="308" spans="8:8" x14ac:dyDescent="0.25">
      <c r="H308" s="90"/>
    </row>
    <row r="309" spans="8:8" x14ac:dyDescent="0.25">
      <c r="H309" s="90"/>
    </row>
    <row r="310" spans="8:8" x14ac:dyDescent="0.25">
      <c r="H310" s="90"/>
    </row>
    <row r="311" spans="8:8" x14ac:dyDescent="0.25">
      <c r="H311" s="90"/>
    </row>
    <row r="312" spans="8:8" x14ac:dyDescent="0.25">
      <c r="H312" s="90"/>
    </row>
    <row r="313" spans="8:8" x14ac:dyDescent="0.25">
      <c r="H313" s="90"/>
    </row>
    <row r="314" spans="8:8" x14ac:dyDescent="0.25">
      <c r="H314" s="90"/>
    </row>
    <row r="315" spans="8:8" x14ac:dyDescent="0.25">
      <c r="H315" s="90"/>
    </row>
    <row r="316" spans="8:8" x14ac:dyDescent="0.25">
      <c r="H316" s="90"/>
    </row>
    <row r="317" spans="8:8" x14ac:dyDescent="0.25">
      <c r="H317" s="90"/>
    </row>
    <row r="318" spans="8:8" x14ac:dyDescent="0.25">
      <c r="H318" s="90"/>
    </row>
    <row r="319" spans="8:8" x14ac:dyDescent="0.25">
      <c r="H319" s="90"/>
    </row>
    <row r="320" spans="8:8" x14ac:dyDescent="0.25">
      <c r="H320" s="90"/>
    </row>
    <row r="321" spans="8:8" x14ac:dyDescent="0.25">
      <c r="H321" s="90"/>
    </row>
    <row r="322" spans="8:8" x14ac:dyDescent="0.25">
      <c r="H322" s="90"/>
    </row>
    <row r="323" spans="8:8" x14ac:dyDescent="0.25">
      <c r="H323" s="90"/>
    </row>
    <row r="324" spans="8:8" x14ac:dyDescent="0.25">
      <c r="H324" s="90"/>
    </row>
    <row r="325" spans="8:8" x14ac:dyDescent="0.25">
      <c r="H325" s="90"/>
    </row>
    <row r="326" spans="8:8" x14ac:dyDescent="0.25">
      <c r="H326" s="90"/>
    </row>
    <row r="327" spans="8:8" x14ac:dyDescent="0.25">
      <c r="H327" s="90"/>
    </row>
    <row r="328" spans="8:8" x14ac:dyDescent="0.25">
      <c r="H328" s="90"/>
    </row>
    <row r="329" spans="8:8" x14ac:dyDescent="0.25">
      <c r="H329" s="90"/>
    </row>
    <row r="330" spans="8:8" x14ac:dyDescent="0.25">
      <c r="H330" s="90"/>
    </row>
    <row r="331" spans="8:8" x14ac:dyDescent="0.25">
      <c r="H331" s="90"/>
    </row>
    <row r="332" spans="8:8" x14ac:dyDescent="0.25">
      <c r="H332" s="90"/>
    </row>
    <row r="333" spans="8:8" x14ac:dyDescent="0.25">
      <c r="H333" s="90"/>
    </row>
    <row r="334" spans="8:8" x14ac:dyDescent="0.25">
      <c r="H334" s="90"/>
    </row>
    <row r="335" spans="8:8" x14ac:dyDescent="0.25">
      <c r="H335" s="90"/>
    </row>
    <row r="336" spans="8:8" x14ac:dyDescent="0.25">
      <c r="H336" s="90"/>
    </row>
    <row r="337" spans="8:8" x14ac:dyDescent="0.25">
      <c r="H337" s="90"/>
    </row>
    <row r="338" spans="8:8" x14ac:dyDescent="0.25">
      <c r="H338" s="90"/>
    </row>
    <row r="339" spans="8:8" x14ac:dyDescent="0.25">
      <c r="H339" s="90"/>
    </row>
    <row r="340" spans="8:8" x14ac:dyDescent="0.25">
      <c r="H340" s="90"/>
    </row>
    <row r="341" spans="8:8" x14ac:dyDescent="0.25">
      <c r="H341" s="90"/>
    </row>
    <row r="342" spans="8:8" x14ac:dyDescent="0.25">
      <c r="H342" s="90"/>
    </row>
    <row r="343" spans="8:8" x14ac:dyDescent="0.25">
      <c r="H343" s="90"/>
    </row>
    <row r="344" spans="8:8" x14ac:dyDescent="0.25">
      <c r="H344" s="90"/>
    </row>
    <row r="345" spans="8:8" x14ac:dyDescent="0.25">
      <c r="H345" s="90"/>
    </row>
    <row r="346" spans="8:8" x14ac:dyDescent="0.25">
      <c r="H346" s="90"/>
    </row>
    <row r="347" spans="8:8" x14ac:dyDescent="0.25">
      <c r="H347" s="90"/>
    </row>
    <row r="348" spans="8:8" x14ac:dyDescent="0.25">
      <c r="H348" s="90"/>
    </row>
    <row r="349" spans="8:8" x14ac:dyDescent="0.25">
      <c r="H349" s="90"/>
    </row>
    <row r="350" spans="8:8" x14ac:dyDescent="0.25">
      <c r="H350" s="90"/>
    </row>
    <row r="351" spans="8:8" x14ac:dyDescent="0.25">
      <c r="H351" s="90"/>
    </row>
    <row r="352" spans="8:8" x14ac:dyDescent="0.25">
      <c r="H352" s="90"/>
    </row>
    <row r="353" spans="8:8" x14ac:dyDescent="0.25">
      <c r="H353" s="90"/>
    </row>
    <row r="354" spans="8:8" x14ac:dyDescent="0.25">
      <c r="H354" s="90"/>
    </row>
    <row r="355" spans="8:8" x14ac:dyDescent="0.25">
      <c r="H355" s="90"/>
    </row>
    <row r="356" spans="8:8" x14ac:dyDescent="0.25">
      <c r="H356" s="90"/>
    </row>
    <row r="357" spans="8:8" x14ac:dyDescent="0.25">
      <c r="H357" s="90"/>
    </row>
    <row r="358" spans="8:8" x14ac:dyDescent="0.25">
      <c r="H358" s="90"/>
    </row>
    <row r="359" spans="8:8" x14ac:dyDescent="0.25">
      <c r="H359" s="90"/>
    </row>
    <row r="360" spans="8:8" x14ac:dyDescent="0.25">
      <c r="H360" s="90"/>
    </row>
    <row r="361" spans="8:8" x14ac:dyDescent="0.25">
      <c r="H361" s="90"/>
    </row>
    <row r="362" spans="8:8" x14ac:dyDescent="0.25">
      <c r="H362" s="90"/>
    </row>
    <row r="363" spans="8:8" x14ac:dyDescent="0.25">
      <c r="H363" s="90"/>
    </row>
    <row r="364" spans="8:8" x14ac:dyDescent="0.25">
      <c r="H364" s="90"/>
    </row>
    <row r="365" spans="8:8" x14ac:dyDescent="0.25">
      <c r="H365" s="90"/>
    </row>
    <row r="366" spans="8:8" x14ac:dyDescent="0.25">
      <c r="H366" s="90"/>
    </row>
    <row r="367" spans="8:8" x14ac:dyDescent="0.25">
      <c r="H367" s="90"/>
    </row>
    <row r="368" spans="8:8" x14ac:dyDescent="0.25">
      <c r="H368" s="90"/>
    </row>
    <row r="369" spans="8:8" x14ac:dyDescent="0.25">
      <c r="H369" s="90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Registro de Operaciones</vt:lpstr>
      <vt:lpstr>BBVA SOLES</vt:lpstr>
      <vt:lpstr>BBVA DOLARES</vt:lpstr>
      <vt:lpstr>INDIVIDUALES</vt:lpstr>
      <vt:lpstr>BD</vt:lpstr>
      <vt:lpstr>Tabla 1</vt:lpstr>
      <vt:lpstr>DOI_Tipo</vt:lpstr>
      <vt:lpstr>Tipo_Abono</vt:lpstr>
      <vt:lpstr>Tipo_Recibo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Mario Saavedra Ramirez</dc:creator>
  <cp:keywords/>
  <dc:description/>
  <cp:lastModifiedBy>RAFAEL MARTIN LANDAURO CARRASCO</cp:lastModifiedBy>
  <cp:revision/>
  <dcterms:created xsi:type="dcterms:W3CDTF">2024-09-02T16:34:33Z</dcterms:created>
  <dcterms:modified xsi:type="dcterms:W3CDTF">2026-07-15T17:31:26Z</dcterms:modified>
  <cp:category/>
  <cp:contentStatus/>
</cp:coreProperties>
</file>